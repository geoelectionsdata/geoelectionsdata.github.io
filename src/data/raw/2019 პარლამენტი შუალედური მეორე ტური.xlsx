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parkosadze\Desktop\"/>
    </mc:Choice>
  </mc:AlternateContent>
  <bookViews>
    <workbookView xWindow="0" yWindow="0" windowWidth="28800" windowHeight="12735"/>
  </bookViews>
  <sheets>
    <sheet name="პარლამენტი მეორე ტური" sheetId="1" r:id="rId1"/>
  </sheets>
  <definedNames>
    <definedName name="_xlnm.Print_Titles" localSheetId="0">'პარლამენტი მეორე ტური'!$A:$B,'პარლამენტი მეორე ტური'!$1:$1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3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2" i="1"/>
  <c r="M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K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O33" i="1"/>
  <c r="D33" i="1"/>
  <c r="E33" i="1"/>
  <c r="F33" i="1"/>
  <c r="G33" i="1"/>
  <c r="H33" i="1" s="1"/>
  <c r="I33" i="1"/>
  <c r="J33" i="1"/>
  <c r="L33" i="1"/>
  <c r="C33" i="1"/>
  <c r="N3" i="1"/>
  <c r="N4" i="1"/>
  <c r="M4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K4" i="1" l="1"/>
  <c r="N33" i="1"/>
  <c r="M33" i="1" s="1"/>
  <c r="K33" i="1" l="1"/>
</calcChain>
</file>

<file path=xl/sharedStrings.xml><?xml version="1.0" encoding="utf-8"?>
<sst xmlns="http://schemas.openxmlformats.org/spreadsheetml/2006/main" count="48" uniqueCount="45">
  <si>
    <t>ჯამი</t>
  </si>
  <si>
    <t>ოლქი</t>
  </si>
  <si>
    <t>უბანი</t>
  </si>
  <si>
    <t>01.01.01</t>
  </si>
  <si>
    <t>01.01.02</t>
  </si>
  <si>
    <t>01.01.03</t>
  </si>
  <si>
    <t>01.01.04</t>
  </si>
  <si>
    <t>01.01.05</t>
  </si>
  <si>
    <t>01.01.06</t>
  </si>
  <si>
    <t>01.01.07</t>
  </si>
  <si>
    <t>01.01.08</t>
  </si>
  <si>
    <t>01.01.09</t>
  </si>
  <si>
    <t>01.01.10</t>
  </si>
  <si>
    <t>01.01.11</t>
  </si>
  <si>
    <t>01.01.12</t>
  </si>
  <si>
    <t>01.01.13</t>
  </si>
  <si>
    <t>01.01.14</t>
  </si>
  <si>
    <t>01.01.15</t>
  </si>
  <si>
    <t>01.01.16</t>
  </si>
  <si>
    <t>01.01.17</t>
  </si>
  <si>
    <t>01.01.18</t>
  </si>
  <si>
    <t>01.01.19</t>
  </si>
  <si>
    <t>01.01.20</t>
  </si>
  <si>
    <t>01.01.21</t>
  </si>
  <si>
    <t>01.01.22</t>
  </si>
  <si>
    <t>01.01.23</t>
  </si>
  <si>
    <t>01.01.24</t>
  </si>
  <si>
    <t>01.01.25</t>
  </si>
  <si>
    <t>01.01.26</t>
  </si>
  <si>
    <t>01.01.27</t>
  </si>
  <si>
    <t>01.01.28</t>
  </si>
  <si>
    <t>01.01.32</t>
  </si>
  <si>
    <t>01.01.33</t>
  </si>
  <si>
    <t>01.04.01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</si>
  <si>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</si>
  <si>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</si>
  <si>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</si>
  <si>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</si>
  <si>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</si>
  <si>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 xml:space="preserve">მიღებული ბიულეტენები </t>
  </si>
  <si>
    <t>13 შალვა შავგულიძე</t>
  </si>
  <si>
    <t>41 ვლადიმერ კახაძე</t>
  </si>
  <si>
    <t>ბათილი ბიულეტენები</t>
  </si>
  <si>
    <t>ნამდვილი ბიულეტენები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</si>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</sst>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2"/>
      <color theme="1"/>
      <name val="Sylfaen"/>
      <family val="1"/>
    </font>
    <font>
      <b/>
      <sz val="12"/>
      <color theme="1"/>
      <name val="Sylfaen"/>
      <family val="1"/>
    </font>
    <font>
      <b/>
      <sz val="9"/>
      <color theme="1"/>
      <name val="Sylfaen"/>
      <family val="1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1" xfId="0" applyFont="1" applyBorder="1"/>
    <xf numFmtId="0" fontId="3" fillId="0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5" fillId="3" borderId="1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>
      <alignment horizontal="center" vertical="center" textRotation="90"/>
    </xf>
    <xf numFmtId="3" fontId="2" fillId="0" borderId="1" xfId="0" applyNumberFormat="1" applyFont="1" applyBorder="1" applyProtection="1"/>
    <xf numFmtId="0" fontId="4" fillId="2" borderId="1" xfId="0" applyFont="1" applyFill="1" applyBorder="1"/>
    <xf numFmtId="3" fontId="4" fillId="2" borderId="1" xfId="0" applyNumberFormat="1" applyFont="1" applyFill="1" applyBorder="1"/>
    <xf numFmtId="0" fontId="4" fillId="0" borderId="0" xfId="0" applyFont="1"/>
    <xf numFmtId="10" fontId="2" fillId="0" borderId="1" xfId="1" applyNumberFormat="1" applyFont="1" applyBorder="1" applyProtection="1"/>
    <xf numFmtId="10" fontId="4" fillId="2" borderId="1" xfId="1" applyNumberFormat="1" applyFont="1" applyFill="1" applyBorder="1"/>
    <xf numFmtId="10" fontId="3" fillId="0" borderId="1" xfId="1" applyNumberFormat="1" applyFont="1" applyBorder="1"/>
    <xf numFmtId="3" fontId="2" fillId="0" borderId="1" xfId="0" applyNumberFormat="1" applyFont="1" applyFill="1" applyBorder="1" applyProtection="1"/>
    <xf numFmtId="10" fontId="2" fillId="0" borderId="1" xfId="1" applyNumberFormat="1" applyFont="1" applyFill="1" applyBorder="1" applyProtection="1"/>
    <xf numFmtId="10" fontId="3" fillId="0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8" x14ac:dyDescent="0.35"/>
  <cols>
    <col min="1" max="1" width="6.140625" style="4" bestFit="1" customWidth="1"/>
    <col min="2" max="2" width="9" style="4" bestFit="1" customWidth="1"/>
    <col min="3" max="3" width="9.85546875" style="4" customWidth="1"/>
    <col min="4" max="4" width="8.140625" style="4" customWidth="1"/>
    <col min="5" max="5" width="9.5703125" style="4" bestFit="1" customWidth="1"/>
    <col min="6" max="6" width="9" style="4" customWidth="1"/>
    <col min="7" max="7" width="8.5703125" style="4" customWidth="1"/>
    <col min="8" max="8" width="9.140625" style="4" bestFit="1" customWidth="1"/>
    <col min="9" max="9" width="11" style="4" customWidth="1"/>
    <col min="10" max="10" width="7.140625" style="4" bestFit="1" customWidth="1"/>
    <col min="11" max="11" width="9.140625" style="4" bestFit="1" customWidth="1"/>
    <col min="12" max="12" width="8.42578125" style="4" bestFit="1" customWidth="1"/>
    <col min="13" max="13" width="9.140625" style="4" bestFit="1" customWidth="1"/>
    <col min="14" max="14" width="11.42578125" style="4" customWidth="1"/>
    <col min="15" max="15" width="9.5703125" style="4" customWidth="1"/>
    <col min="16" max="16" width="7.85546875" style="4" bestFit="1" customWidth="1"/>
    <col min="17" max="16384" width="9.140625" style="4"/>
  </cols>
  <sheetData>
    <row r="1" spans="1:16" s="3" customFormat="1" ht="114" x14ac:dyDescent="0.35">
      <c r="A1" s="5" t="s">
        <v>1</v>
      </c>
      <c r="B1" s="5" t="s">
        <v>2</v>
      </c>
      <c r="C1" s="5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44</v>
      </c>
      <c r="I1" s="6" t="s">
        <v>39</v>
      </c>
      <c r="J1" s="7" t="s">
        <v>40</v>
      </c>
      <c r="K1" s="7" t="s">
        <v>44</v>
      </c>
      <c r="L1" s="7" t="s">
        <v>41</v>
      </c>
      <c r="M1" s="7" t="s">
        <v>44</v>
      </c>
      <c r="N1" s="5" t="s">
        <v>43</v>
      </c>
      <c r="O1" s="6" t="s">
        <v>42</v>
      </c>
      <c r="P1" s="6" t="s">
        <v>44</v>
      </c>
    </row>
    <row r="2" spans="1:16" x14ac:dyDescent="0.35">
      <c r="A2" s="1">
        <v>1</v>
      </c>
      <c r="B2" s="1" t="s">
        <v>3</v>
      </c>
      <c r="C2" s="8">
        <v>1438</v>
      </c>
      <c r="D2" s="1">
        <v>2</v>
      </c>
      <c r="E2" s="8">
        <v>153</v>
      </c>
      <c r="F2" s="8">
        <v>410</v>
      </c>
      <c r="G2" s="8">
        <v>514</v>
      </c>
      <c r="H2" s="12">
        <f>G2/C2</f>
        <v>0.35744089012517383</v>
      </c>
      <c r="I2" s="8">
        <v>1300</v>
      </c>
      <c r="J2" s="1">
        <v>208</v>
      </c>
      <c r="K2" s="14">
        <f>J2/N2</f>
        <v>0.41767068273092367</v>
      </c>
      <c r="L2" s="1">
        <v>290</v>
      </c>
      <c r="M2" s="14">
        <f>L2/N2</f>
        <v>0.58232931726907633</v>
      </c>
      <c r="N2" s="8">
        <f t="shared" ref="N2:N32" si="0">J2+L2</f>
        <v>498</v>
      </c>
      <c r="O2" s="8">
        <v>16</v>
      </c>
      <c r="P2" s="14">
        <f>O2/G2</f>
        <v>3.1128404669260701E-2</v>
      </c>
    </row>
    <row r="3" spans="1:16" x14ac:dyDescent="0.35">
      <c r="A3" s="1">
        <v>1</v>
      </c>
      <c r="B3" s="1" t="s">
        <v>4</v>
      </c>
      <c r="C3" s="8">
        <v>1281</v>
      </c>
      <c r="D3" s="1">
        <v>5</v>
      </c>
      <c r="E3" s="8">
        <v>199</v>
      </c>
      <c r="F3" s="8">
        <v>435</v>
      </c>
      <c r="G3" s="8">
        <v>513</v>
      </c>
      <c r="H3" s="12">
        <f t="shared" ref="H3:H32" si="1">G3/C3</f>
        <v>0.40046838407494145</v>
      </c>
      <c r="I3" s="8">
        <v>1100</v>
      </c>
      <c r="J3" s="1">
        <v>189</v>
      </c>
      <c r="K3" s="14">
        <f t="shared" ref="K3:K32" si="2">J3/N3</f>
        <v>0.38104838709677419</v>
      </c>
      <c r="L3" s="1">
        <v>307</v>
      </c>
      <c r="M3" s="14">
        <f t="shared" ref="M3:M32" si="3">L3/N3</f>
        <v>0.61895161290322576</v>
      </c>
      <c r="N3" s="8">
        <f t="shared" si="0"/>
        <v>496</v>
      </c>
      <c r="O3" s="8">
        <v>17</v>
      </c>
      <c r="P3" s="14">
        <f t="shared" ref="P3:P32" si="4">O3/G3</f>
        <v>3.3138401559454189E-2</v>
      </c>
    </row>
    <row r="4" spans="1:16" x14ac:dyDescent="0.35">
      <c r="A4" s="1">
        <v>1</v>
      </c>
      <c r="B4" s="1" t="s">
        <v>5</v>
      </c>
      <c r="C4" s="8">
        <v>1494</v>
      </c>
      <c r="D4" s="1">
        <v>6</v>
      </c>
      <c r="E4" s="8">
        <v>158</v>
      </c>
      <c r="F4" s="8">
        <v>447</v>
      </c>
      <c r="G4" s="15">
        <v>604</v>
      </c>
      <c r="H4" s="16">
        <f t="shared" si="1"/>
        <v>0.4042838018741633</v>
      </c>
      <c r="I4" s="15">
        <v>1300</v>
      </c>
      <c r="J4" s="2">
        <v>265</v>
      </c>
      <c r="K4" s="17">
        <f t="shared" si="2"/>
        <v>0.45689655172413796</v>
      </c>
      <c r="L4" s="2">
        <v>315</v>
      </c>
      <c r="M4" s="14">
        <f t="shared" si="3"/>
        <v>0.5431034482758621</v>
      </c>
      <c r="N4" s="8">
        <f t="shared" si="0"/>
        <v>580</v>
      </c>
      <c r="O4" s="8">
        <v>24</v>
      </c>
      <c r="P4" s="14">
        <f t="shared" si="4"/>
        <v>3.9735099337748346E-2</v>
      </c>
    </row>
    <row r="5" spans="1:16" x14ac:dyDescent="0.35">
      <c r="A5" s="1">
        <v>1</v>
      </c>
      <c r="B5" s="1" t="s">
        <v>6</v>
      </c>
      <c r="C5" s="8">
        <v>1219</v>
      </c>
      <c r="D5" s="1">
        <v>4</v>
      </c>
      <c r="E5" s="8">
        <v>191</v>
      </c>
      <c r="F5" s="8">
        <v>380</v>
      </c>
      <c r="G5" s="8">
        <v>460</v>
      </c>
      <c r="H5" s="12">
        <f t="shared" si="1"/>
        <v>0.37735849056603776</v>
      </c>
      <c r="I5" s="8">
        <v>1100</v>
      </c>
      <c r="J5" s="1">
        <v>152</v>
      </c>
      <c r="K5" s="14">
        <f t="shared" si="2"/>
        <v>0.34545454545454546</v>
      </c>
      <c r="L5" s="1">
        <v>288</v>
      </c>
      <c r="M5" s="14">
        <f t="shared" si="3"/>
        <v>0.65454545454545454</v>
      </c>
      <c r="N5" s="8">
        <f t="shared" si="0"/>
        <v>440</v>
      </c>
      <c r="O5" s="8">
        <v>20</v>
      </c>
      <c r="P5" s="14">
        <f t="shared" si="4"/>
        <v>4.3478260869565216E-2</v>
      </c>
    </row>
    <row r="6" spans="1:16" x14ac:dyDescent="0.35">
      <c r="A6" s="1">
        <v>1</v>
      </c>
      <c r="B6" s="1" t="s">
        <v>7</v>
      </c>
      <c r="C6" s="8">
        <v>1551</v>
      </c>
      <c r="D6" s="1">
        <v>5</v>
      </c>
      <c r="E6" s="8">
        <v>132</v>
      </c>
      <c r="F6" s="8">
        <v>410</v>
      </c>
      <c r="G6" s="8">
        <v>544</v>
      </c>
      <c r="H6" s="12">
        <f t="shared" si="1"/>
        <v>0.35074145712443583</v>
      </c>
      <c r="I6" s="8">
        <v>1400</v>
      </c>
      <c r="J6" s="1">
        <v>198</v>
      </c>
      <c r="K6" s="14">
        <f t="shared" si="2"/>
        <v>0.37358490566037733</v>
      </c>
      <c r="L6" s="1">
        <v>332</v>
      </c>
      <c r="M6" s="14">
        <f t="shared" si="3"/>
        <v>0.62641509433962261</v>
      </c>
      <c r="N6" s="8">
        <f t="shared" si="0"/>
        <v>530</v>
      </c>
      <c r="O6" s="8">
        <v>14</v>
      </c>
      <c r="P6" s="14">
        <f t="shared" si="4"/>
        <v>2.5735294117647058E-2</v>
      </c>
    </row>
    <row r="7" spans="1:16" x14ac:dyDescent="0.35">
      <c r="A7" s="1">
        <v>1</v>
      </c>
      <c r="B7" s="1" t="s">
        <v>8</v>
      </c>
      <c r="C7" s="8">
        <v>1481</v>
      </c>
      <c r="D7" s="1">
        <v>5</v>
      </c>
      <c r="E7" s="8">
        <v>179</v>
      </c>
      <c r="F7" s="8">
        <v>484</v>
      </c>
      <c r="G7" s="8">
        <v>618</v>
      </c>
      <c r="H7" s="12">
        <f t="shared" si="1"/>
        <v>0.41728561782579338</v>
      </c>
      <c r="I7" s="8">
        <v>1350</v>
      </c>
      <c r="J7" s="1">
        <v>235</v>
      </c>
      <c r="K7" s="14">
        <f t="shared" si="2"/>
        <v>0.40034071550255534</v>
      </c>
      <c r="L7" s="1">
        <v>352</v>
      </c>
      <c r="M7" s="14">
        <f t="shared" si="3"/>
        <v>0.59965928449744466</v>
      </c>
      <c r="N7" s="8">
        <f t="shared" si="0"/>
        <v>587</v>
      </c>
      <c r="O7" s="8">
        <v>31</v>
      </c>
      <c r="P7" s="14">
        <f t="shared" si="4"/>
        <v>5.0161812297734629E-2</v>
      </c>
    </row>
    <row r="8" spans="1:16" x14ac:dyDescent="0.35">
      <c r="A8" s="1">
        <v>1</v>
      </c>
      <c r="B8" s="1" t="s">
        <v>9</v>
      </c>
      <c r="C8" s="8">
        <v>1425</v>
      </c>
      <c r="D8" s="1">
        <v>8</v>
      </c>
      <c r="E8" s="8">
        <v>218</v>
      </c>
      <c r="F8" s="8">
        <v>465</v>
      </c>
      <c r="G8" s="8">
        <v>573</v>
      </c>
      <c r="H8" s="12">
        <f t="shared" si="1"/>
        <v>0.40210526315789474</v>
      </c>
      <c r="I8" s="8">
        <v>1250</v>
      </c>
      <c r="J8" s="1">
        <v>188</v>
      </c>
      <c r="K8" s="14">
        <f t="shared" si="2"/>
        <v>0.33996383363471971</v>
      </c>
      <c r="L8" s="1">
        <v>365</v>
      </c>
      <c r="M8" s="14">
        <f t="shared" si="3"/>
        <v>0.66003616636528029</v>
      </c>
      <c r="N8" s="8">
        <f t="shared" si="0"/>
        <v>553</v>
      </c>
      <c r="O8" s="8">
        <v>20</v>
      </c>
      <c r="P8" s="14">
        <f t="shared" si="4"/>
        <v>3.4904013961605584E-2</v>
      </c>
    </row>
    <row r="9" spans="1:16" x14ac:dyDescent="0.35">
      <c r="A9" s="1">
        <v>1</v>
      </c>
      <c r="B9" s="1" t="s">
        <v>10</v>
      </c>
      <c r="C9" s="8">
        <v>1153</v>
      </c>
      <c r="D9" s="1">
        <v>7</v>
      </c>
      <c r="E9" s="8">
        <v>109</v>
      </c>
      <c r="F9" s="8">
        <v>309</v>
      </c>
      <c r="G9" s="8">
        <v>413</v>
      </c>
      <c r="H9" s="12">
        <f t="shared" si="1"/>
        <v>0.35819601040763227</v>
      </c>
      <c r="I9" s="8">
        <v>1050</v>
      </c>
      <c r="J9" s="1">
        <v>151</v>
      </c>
      <c r="K9" s="14">
        <f t="shared" si="2"/>
        <v>0.38324873096446699</v>
      </c>
      <c r="L9" s="1">
        <v>243</v>
      </c>
      <c r="M9" s="14">
        <f t="shared" si="3"/>
        <v>0.61675126903553301</v>
      </c>
      <c r="N9" s="8">
        <f t="shared" si="0"/>
        <v>394</v>
      </c>
      <c r="O9" s="8">
        <v>19</v>
      </c>
      <c r="P9" s="14">
        <f t="shared" si="4"/>
        <v>4.6004842615012108E-2</v>
      </c>
    </row>
    <row r="10" spans="1:16" x14ac:dyDescent="0.35">
      <c r="A10" s="1">
        <v>1</v>
      </c>
      <c r="B10" s="1" t="s">
        <v>11</v>
      </c>
      <c r="C10" s="8">
        <v>1460</v>
      </c>
      <c r="D10" s="1">
        <v>6</v>
      </c>
      <c r="E10" s="8">
        <v>192</v>
      </c>
      <c r="F10" s="8">
        <v>474</v>
      </c>
      <c r="G10" s="8">
        <v>605</v>
      </c>
      <c r="H10" s="12">
        <f t="shared" si="1"/>
        <v>0.41438356164383561</v>
      </c>
      <c r="I10" s="8">
        <v>1350</v>
      </c>
      <c r="J10" s="1">
        <v>242</v>
      </c>
      <c r="K10" s="14">
        <f t="shared" si="2"/>
        <v>0.41724137931034483</v>
      </c>
      <c r="L10" s="1">
        <v>338</v>
      </c>
      <c r="M10" s="14">
        <f t="shared" si="3"/>
        <v>0.58275862068965523</v>
      </c>
      <c r="N10" s="8">
        <f t="shared" si="0"/>
        <v>580</v>
      </c>
      <c r="O10" s="8">
        <v>25</v>
      </c>
      <c r="P10" s="14">
        <f t="shared" si="4"/>
        <v>4.1322314049586778E-2</v>
      </c>
    </row>
    <row r="11" spans="1:16" x14ac:dyDescent="0.35">
      <c r="A11" s="1">
        <v>1</v>
      </c>
      <c r="B11" s="1" t="s">
        <v>12</v>
      </c>
      <c r="C11" s="8">
        <v>1513</v>
      </c>
      <c r="D11" s="1">
        <v>5</v>
      </c>
      <c r="E11" s="8">
        <v>202</v>
      </c>
      <c r="F11" s="8">
        <v>512</v>
      </c>
      <c r="G11" s="8">
        <v>644</v>
      </c>
      <c r="H11" s="12">
        <f t="shared" si="1"/>
        <v>0.42564441506939854</v>
      </c>
      <c r="I11" s="8">
        <v>1350</v>
      </c>
      <c r="J11" s="1">
        <v>241</v>
      </c>
      <c r="K11" s="14">
        <f t="shared" si="2"/>
        <v>0.39508196721311473</v>
      </c>
      <c r="L11" s="1">
        <v>369</v>
      </c>
      <c r="M11" s="14">
        <f t="shared" si="3"/>
        <v>0.60491803278688527</v>
      </c>
      <c r="N11" s="8">
        <f t="shared" si="0"/>
        <v>610</v>
      </c>
      <c r="O11" s="8">
        <v>34</v>
      </c>
      <c r="P11" s="14">
        <f t="shared" si="4"/>
        <v>5.2795031055900624E-2</v>
      </c>
    </row>
    <row r="12" spans="1:16" x14ac:dyDescent="0.35">
      <c r="A12" s="1">
        <v>1</v>
      </c>
      <c r="B12" s="1" t="s">
        <v>13</v>
      </c>
      <c r="C12" s="8">
        <v>1531</v>
      </c>
      <c r="D12" s="1">
        <v>5</v>
      </c>
      <c r="E12" s="8">
        <v>220</v>
      </c>
      <c r="F12" s="8">
        <v>488</v>
      </c>
      <c r="G12" s="8">
        <v>613</v>
      </c>
      <c r="H12" s="12">
        <f t="shared" si="1"/>
        <v>0.40039190071848463</v>
      </c>
      <c r="I12" s="8">
        <v>1350</v>
      </c>
      <c r="J12" s="1">
        <v>249</v>
      </c>
      <c r="K12" s="14">
        <f t="shared" si="2"/>
        <v>0.42131979695431471</v>
      </c>
      <c r="L12" s="1">
        <v>342</v>
      </c>
      <c r="M12" s="14">
        <f t="shared" si="3"/>
        <v>0.57868020304568524</v>
      </c>
      <c r="N12" s="8">
        <f t="shared" si="0"/>
        <v>591</v>
      </c>
      <c r="O12" s="8">
        <v>22</v>
      </c>
      <c r="P12" s="14">
        <f t="shared" si="4"/>
        <v>3.588907014681892E-2</v>
      </c>
    </row>
    <row r="13" spans="1:16" x14ac:dyDescent="0.35">
      <c r="A13" s="1">
        <v>1</v>
      </c>
      <c r="B13" s="1" t="s">
        <v>14</v>
      </c>
      <c r="C13" s="8">
        <v>1630</v>
      </c>
      <c r="D13" s="1">
        <v>1</v>
      </c>
      <c r="E13" s="8">
        <v>182</v>
      </c>
      <c r="F13" s="8">
        <v>583</v>
      </c>
      <c r="G13" s="8">
        <v>740</v>
      </c>
      <c r="H13" s="12">
        <f t="shared" si="1"/>
        <v>0.45398773006134968</v>
      </c>
      <c r="I13" s="8">
        <v>1450</v>
      </c>
      <c r="J13" s="1">
        <v>273</v>
      </c>
      <c r="K13" s="14">
        <f t="shared" si="2"/>
        <v>0.39111747851002865</v>
      </c>
      <c r="L13" s="1">
        <v>425</v>
      </c>
      <c r="M13" s="14">
        <f t="shared" si="3"/>
        <v>0.60888252148997135</v>
      </c>
      <c r="N13" s="8">
        <f t="shared" si="0"/>
        <v>698</v>
      </c>
      <c r="O13" s="8">
        <v>42</v>
      </c>
      <c r="P13" s="14">
        <f t="shared" si="4"/>
        <v>5.675675675675676E-2</v>
      </c>
    </row>
    <row r="14" spans="1:16" x14ac:dyDescent="0.35">
      <c r="A14" s="1">
        <v>1</v>
      </c>
      <c r="B14" s="1" t="s">
        <v>15</v>
      </c>
      <c r="C14" s="8">
        <v>1285</v>
      </c>
      <c r="D14" s="1">
        <v>2</v>
      </c>
      <c r="E14" s="8">
        <v>200</v>
      </c>
      <c r="F14" s="8">
        <v>441</v>
      </c>
      <c r="G14" s="8">
        <v>551</v>
      </c>
      <c r="H14" s="12">
        <f t="shared" si="1"/>
        <v>0.42879377431906612</v>
      </c>
      <c r="I14" s="8">
        <v>1150</v>
      </c>
      <c r="J14" s="1">
        <v>158</v>
      </c>
      <c r="K14" s="14">
        <f t="shared" si="2"/>
        <v>0.29422718808193671</v>
      </c>
      <c r="L14" s="1">
        <v>379</v>
      </c>
      <c r="M14" s="14">
        <f t="shared" si="3"/>
        <v>0.70577281191806329</v>
      </c>
      <c r="N14" s="8">
        <f t="shared" si="0"/>
        <v>537</v>
      </c>
      <c r="O14" s="8">
        <v>14</v>
      </c>
      <c r="P14" s="14">
        <f t="shared" si="4"/>
        <v>2.5408348457350273E-2</v>
      </c>
    </row>
    <row r="15" spans="1:16" x14ac:dyDescent="0.35">
      <c r="A15" s="1">
        <v>1</v>
      </c>
      <c r="B15" s="1" t="s">
        <v>16</v>
      </c>
      <c r="C15" s="8">
        <v>1214</v>
      </c>
      <c r="D15" s="1">
        <v>4</v>
      </c>
      <c r="E15" s="8">
        <v>155</v>
      </c>
      <c r="F15" s="8">
        <v>426</v>
      </c>
      <c r="G15" s="8">
        <v>543</v>
      </c>
      <c r="H15" s="12">
        <f t="shared" si="1"/>
        <v>0.44728171334431632</v>
      </c>
      <c r="I15" s="8">
        <v>1100</v>
      </c>
      <c r="J15" s="1">
        <v>196</v>
      </c>
      <c r="K15" s="14">
        <f t="shared" si="2"/>
        <v>0.3719165085388994</v>
      </c>
      <c r="L15" s="1">
        <v>331</v>
      </c>
      <c r="M15" s="14">
        <f t="shared" si="3"/>
        <v>0.62808349146110054</v>
      </c>
      <c r="N15" s="8">
        <f t="shared" si="0"/>
        <v>527</v>
      </c>
      <c r="O15" s="8">
        <v>16</v>
      </c>
      <c r="P15" s="14">
        <f t="shared" si="4"/>
        <v>2.9465930018416207E-2</v>
      </c>
    </row>
    <row r="16" spans="1:16" x14ac:dyDescent="0.35">
      <c r="A16" s="1">
        <v>1</v>
      </c>
      <c r="B16" s="2" t="s">
        <v>17</v>
      </c>
      <c r="C16" s="8">
        <v>1401</v>
      </c>
      <c r="D16" s="1">
        <v>2</v>
      </c>
      <c r="E16" s="8">
        <v>217</v>
      </c>
      <c r="F16" s="8">
        <v>493</v>
      </c>
      <c r="G16" s="8">
        <v>629</v>
      </c>
      <c r="H16" s="12">
        <f t="shared" si="1"/>
        <v>0.44896502498215562</v>
      </c>
      <c r="I16" s="8">
        <v>1250</v>
      </c>
      <c r="J16" s="1">
        <v>215</v>
      </c>
      <c r="K16" s="14">
        <f t="shared" si="2"/>
        <v>0.35130718954248363</v>
      </c>
      <c r="L16" s="1">
        <v>397</v>
      </c>
      <c r="M16" s="14">
        <f t="shared" si="3"/>
        <v>0.64869281045751637</v>
      </c>
      <c r="N16" s="8">
        <f t="shared" si="0"/>
        <v>612</v>
      </c>
      <c r="O16" s="8">
        <v>17</v>
      </c>
      <c r="P16" s="14">
        <f t="shared" si="4"/>
        <v>2.7027027027027029E-2</v>
      </c>
    </row>
    <row r="17" spans="1:16" x14ac:dyDescent="0.35">
      <c r="A17" s="1">
        <v>1</v>
      </c>
      <c r="B17" s="1" t="s">
        <v>18</v>
      </c>
      <c r="C17" s="8">
        <v>1498</v>
      </c>
      <c r="D17" s="1">
        <v>7</v>
      </c>
      <c r="E17" s="8">
        <v>180</v>
      </c>
      <c r="F17" s="8">
        <v>448</v>
      </c>
      <c r="G17" s="8">
        <v>562</v>
      </c>
      <c r="H17" s="12">
        <f t="shared" si="1"/>
        <v>0.37516688918558078</v>
      </c>
      <c r="I17" s="8">
        <v>1300</v>
      </c>
      <c r="J17" s="1">
        <v>246</v>
      </c>
      <c r="K17" s="14">
        <f t="shared" si="2"/>
        <v>0.45981308411214955</v>
      </c>
      <c r="L17" s="1">
        <v>289</v>
      </c>
      <c r="M17" s="14">
        <f t="shared" si="3"/>
        <v>0.54018691588785051</v>
      </c>
      <c r="N17" s="8">
        <f t="shared" si="0"/>
        <v>535</v>
      </c>
      <c r="O17" s="8">
        <v>27</v>
      </c>
      <c r="P17" s="14">
        <f t="shared" si="4"/>
        <v>4.8042704626334518E-2</v>
      </c>
    </row>
    <row r="18" spans="1:16" x14ac:dyDescent="0.35">
      <c r="A18" s="1">
        <v>1</v>
      </c>
      <c r="B18" s="1" t="s">
        <v>19</v>
      </c>
      <c r="C18" s="8">
        <v>984</v>
      </c>
      <c r="D18" s="1">
        <v>4</v>
      </c>
      <c r="E18" s="8">
        <v>115</v>
      </c>
      <c r="F18" s="8">
        <v>296</v>
      </c>
      <c r="G18" s="8">
        <v>374</v>
      </c>
      <c r="H18" s="12">
        <f t="shared" si="1"/>
        <v>0.38008130081300812</v>
      </c>
      <c r="I18" s="8">
        <v>850</v>
      </c>
      <c r="J18" s="1">
        <v>140</v>
      </c>
      <c r="K18" s="14">
        <f t="shared" si="2"/>
        <v>0.39548022598870058</v>
      </c>
      <c r="L18" s="1">
        <v>214</v>
      </c>
      <c r="M18" s="14">
        <f t="shared" si="3"/>
        <v>0.60451977401129942</v>
      </c>
      <c r="N18" s="8">
        <f t="shared" si="0"/>
        <v>354</v>
      </c>
      <c r="O18" s="8">
        <v>20</v>
      </c>
      <c r="P18" s="14">
        <f t="shared" si="4"/>
        <v>5.3475935828877004E-2</v>
      </c>
    </row>
    <row r="19" spans="1:16" x14ac:dyDescent="0.35">
      <c r="A19" s="1">
        <v>1</v>
      </c>
      <c r="B19" s="1" t="s">
        <v>20</v>
      </c>
      <c r="C19" s="8">
        <v>1101</v>
      </c>
      <c r="D19" s="1">
        <v>4</v>
      </c>
      <c r="E19" s="8">
        <v>136</v>
      </c>
      <c r="F19" s="8">
        <v>335</v>
      </c>
      <c r="G19" s="8">
        <v>449</v>
      </c>
      <c r="H19" s="12">
        <f t="shared" si="1"/>
        <v>0.40781108083560402</v>
      </c>
      <c r="I19" s="8">
        <v>1000</v>
      </c>
      <c r="J19" s="1">
        <v>170</v>
      </c>
      <c r="K19" s="14">
        <f t="shared" si="2"/>
        <v>0.38990825688073394</v>
      </c>
      <c r="L19" s="1">
        <v>266</v>
      </c>
      <c r="M19" s="14">
        <f t="shared" si="3"/>
        <v>0.61009174311926606</v>
      </c>
      <c r="N19" s="8">
        <f t="shared" si="0"/>
        <v>436</v>
      </c>
      <c r="O19" s="8">
        <v>13</v>
      </c>
      <c r="P19" s="14">
        <f t="shared" si="4"/>
        <v>2.8953229398663696E-2</v>
      </c>
    </row>
    <row r="20" spans="1:16" x14ac:dyDescent="0.35">
      <c r="A20" s="1">
        <v>1</v>
      </c>
      <c r="B20" s="1" t="s">
        <v>21</v>
      </c>
      <c r="C20" s="8">
        <v>1486</v>
      </c>
      <c r="D20" s="1">
        <v>4</v>
      </c>
      <c r="E20" s="8">
        <v>193</v>
      </c>
      <c r="F20" s="8">
        <v>425</v>
      </c>
      <c r="G20" s="8">
        <v>530</v>
      </c>
      <c r="H20" s="12">
        <f t="shared" si="1"/>
        <v>0.35666218034993269</v>
      </c>
      <c r="I20" s="8">
        <v>1350</v>
      </c>
      <c r="J20" s="1">
        <v>179</v>
      </c>
      <c r="K20" s="14">
        <f t="shared" si="2"/>
        <v>0.35515873015873017</v>
      </c>
      <c r="L20" s="1">
        <v>325</v>
      </c>
      <c r="M20" s="14">
        <f t="shared" si="3"/>
        <v>0.64484126984126988</v>
      </c>
      <c r="N20" s="8">
        <f t="shared" si="0"/>
        <v>504</v>
      </c>
      <c r="O20" s="8">
        <v>26</v>
      </c>
      <c r="P20" s="14">
        <f t="shared" si="4"/>
        <v>4.9056603773584909E-2</v>
      </c>
    </row>
    <row r="21" spans="1:16" x14ac:dyDescent="0.35">
      <c r="A21" s="1">
        <v>1</v>
      </c>
      <c r="B21" s="1" t="s">
        <v>22</v>
      </c>
      <c r="C21" s="8">
        <v>1372</v>
      </c>
      <c r="D21" s="1">
        <v>6</v>
      </c>
      <c r="E21" s="8">
        <v>204</v>
      </c>
      <c r="F21" s="8">
        <v>478</v>
      </c>
      <c r="G21" s="8">
        <v>603</v>
      </c>
      <c r="H21" s="12">
        <f t="shared" si="1"/>
        <v>0.43950437317784258</v>
      </c>
      <c r="I21" s="8">
        <v>1250</v>
      </c>
      <c r="J21" s="1">
        <v>224</v>
      </c>
      <c r="K21" s="14">
        <f t="shared" si="2"/>
        <v>0.38620689655172413</v>
      </c>
      <c r="L21" s="1">
        <v>356</v>
      </c>
      <c r="M21" s="14">
        <f t="shared" si="3"/>
        <v>0.61379310344827587</v>
      </c>
      <c r="N21" s="8">
        <f t="shared" si="0"/>
        <v>580</v>
      </c>
      <c r="O21" s="8">
        <v>23</v>
      </c>
      <c r="P21" s="14">
        <f t="shared" si="4"/>
        <v>3.8142620232172471E-2</v>
      </c>
    </row>
    <row r="22" spans="1:16" x14ac:dyDescent="0.35">
      <c r="A22" s="1">
        <v>1</v>
      </c>
      <c r="B22" s="1" t="s">
        <v>23</v>
      </c>
      <c r="C22" s="8">
        <v>1533</v>
      </c>
      <c r="D22" s="1">
        <v>2</v>
      </c>
      <c r="E22" s="8">
        <v>195</v>
      </c>
      <c r="F22" s="8">
        <v>502</v>
      </c>
      <c r="G22" s="8">
        <v>630</v>
      </c>
      <c r="H22" s="12">
        <f t="shared" si="1"/>
        <v>0.41095890410958902</v>
      </c>
      <c r="I22" s="8">
        <v>1400</v>
      </c>
      <c r="J22" s="1">
        <v>267</v>
      </c>
      <c r="K22" s="14">
        <f t="shared" si="2"/>
        <v>0.43986820428336076</v>
      </c>
      <c r="L22" s="1">
        <v>340</v>
      </c>
      <c r="M22" s="14">
        <f t="shared" si="3"/>
        <v>0.56013179571663918</v>
      </c>
      <c r="N22" s="8">
        <f t="shared" si="0"/>
        <v>607</v>
      </c>
      <c r="O22" s="8">
        <v>23</v>
      </c>
      <c r="P22" s="14">
        <f t="shared" si="4"/>
        <v>3.650793650793651E-2</v>
      </c>
    </row>
    <row r="23" spans="1:16" x14ac:dyDescent="0.35">
      <c r="A23" s="1">
        <v>1</v>
      </c>
      <c r="B23" s="1" t="s">
        <v>24</v>
      </c>
      <c r="C23" s="8">
        <v>1537</v>
      </c>
      <c r="D23" s="1">
        <v>3</v>
      </c>
      <c r="E23" s="8">
        <v>248</v>
      </c>
      <c r="F23" s="8">
        <v>476</v>
      </c>
      <c r="G23" s="8">
        <v>606</v>
      </c>
      <c r="H23" s="12">
        <f t="shared" si="1"/>
        <v>0.39427456083279117</v>
      </c>
      <c r="I23" s="8">
        <v>1400</v>
      </c>
      <c r="J23" s="1">
        <v>227</v>
      </c>
      <c r="K23" s="14">
        <f t="shared" si="2"/>
        <v>0.39478260869565218</v>
      </c>
      <c r="L23" s="1">
        <v>348</v>
      </c>
      <c r="M23" s="14">
        <f t="shared" si="3"/>
        <v>0.60521739130434782</v>
      </c>
      <c r="N23" s="8">
        <f t="shared" si="0"/>
        <v>575</v>
      </c>
      <c r="O23" s="8">
        <v>31</v>
      </c>
      <c r="P23" s="14">
        <f t="shared" si="4"/>
        <v>5.1155115511551157E-2</v>
      </c>
    </row>
    <row r="24" spans="1:16" x14ac:dyDescent="0.35">
      <c r="A24" s="1">
        <v>1</v>
      </c>
      <c r="B24" s="1" t="s">
        <v>25</v>
      </c>
      <c r="C24" s="8">
        <v>1480</v>
      </c>
      <c r="D24" s="1">
        <v>4</v>
      </c>
      <c r="E24" s="8">
        <v>183</v>
      </c>
      <c r="F24" s="8">
        <v>516</v>
      </c>
      <c r="G24" s="8">
        <v>681</v>
      </c>
      <c r="H24" s="12">
        <f t="shared" si="1"/>
        <v>0.46013513513513515</v>
      </c>
      <c r="I24" s="8">
        <v>1350</v>
      </c>
      <c r="J24" s="1">
        <v>271</v>
      </c>
      <c r="K24" s="14">
        <f t="shared" si="2"/>
        <v>0.41756548536209553</v>
      </c>
      <c r="L24" s="1">
        <v>378</v>
      </c>
      <c r="M24" s="14">
        <f t="shared" si="3"/>
        <v>0.58243451463790452</v>
      </c>
      <c r="N24" s="8">
        <f t="shared" si="0"/>
        <v>649</v>
      </c>
      <c r="O24" s="8">
        <v>32</v>
      </c>
      <c r="P24" s="14">
        <f t="shared" si="4"/>
        <v>4.6989720998531569E-2</v>
      </c>
    </row>
    <row r="25" spans="1:16" x14ac:dyDescent="0.35">
      <c r="A25" s="1">
        <v>1</v>
      </c>
      <c r="B25" s="1" t="s">
        <v>26</v>
      </c>
      <c r="C25" s="8">
        <v>1446</v>
      </c>
      <c r="D25" s="1">
        <v>3</v>
      </c>
      <c r="E25" s="8">
        <v>190</v>
      </c>
      <c r="F25" s="8">
        <v>510</v>
      </c>
      <c r="G25" s="8">
        <v>658</v>
      </c>
      <c r="H25" s="12">
        <f t="shared" si="1"/>
        <v>0.45504840940525587</v>
      </c>
      <c r="I25" s="8">
        <v>1350</v>
      </c>
      <c r="J25" s="1">
        <v>216</v>
      </c>
      <c r="K25" s="14">
        <f t="shared" si="2"/>
        <v>0.33855799373040751</v>
      </c>
      <c r="L25" s="1">
        <v>422</v>
      </c>
      <c r="M25" s="14">
        <f t="shared" si="3"/>
        <v>0.66144200626959249</v>
      </c>
      <c r="N25" s="8">
        <f t="shared" si="0"/>
        <v>638</v>
      </c>
      <c r="O25" s="8">
        <v>20</v>
      </c>
      <c r="P25" s="14">
        <f t="shared" si="4"/>
        <v>3.0395136778115502E-2</v>
      </c>
    </row>
    <row r="26" spans="1:16" x14ac:dyDescent="0.35">
      <c r="A26" s="1">
        <v>1</v>
      </c>
      <c r="B26" s="1" t="s">
        <v>27</v>
      </c>
      <c r="C26" s="8">
        <v>1187</v>
      </c>
      <c r="D26" s="1">
        <v>7</v>
      </c>
      <c r="E26" s="8">
        <v>172</v>
      </c>
      <c r="F26" s="8">
        <v>406</v>
      </c>
      <c r="G26" s="8">
        <v>521</v>
      </c>
      <c r="H26" s="12">
        <f t="shared" si="1"/>
        <v>0.43892165122156696</v>
      </c>
      <c r="I26" s="8">
        <v>1050</v>
      </c>
      <c r="J26" s="1">
        <v>199</v>
      </c>
      <c r="K26" s="14">
        <f t="shared" si="2"/>
        <v>0.39641434262948205</v>
      </c>
      <c r="L26" s="1">
        <v>303</v>
      </c>
      <c r="M26" s="14">
        <f t="shared" si="3"/>
        <v>0.60358565737051795</v>
      </c>
      <c r="N26" s="8">
        <f t="shared" si="0"/>
        <v>502</v>
      </c>
      <c r="O26" s="8">
        <v>19</v>
      </c>
      <c r="P26" s="14">
        <f t="shared" si="4"/>
        <v>3.6468330134357005E-2</v>
      </c>
    </row>
    <row r="27" spans="1:16" x14ac:dyDescent="0.35">
      <c r="A27" s="1">
        <v>1</v>
      </c>
      <c r="B27" s="1" t="s">
        <v>28</v>
      </c>
      <c r="C27" s="8">
        <v>1583</v>
      </c>
      <c r="D27" s="1">
        <v>2</v>
      </c>
      <c r="E27" s="8">
        <v>205</v>
      </c>
      <c r="F27" s="8">
        <v>513</v>
      </c>
      <c r="G27" s="8">
        <v>638</v>
      </c>
      <c r="H27" s="12">
        <f t="shared" si="1"/>
        <v>0.40303221730890715</v>
      </c>
      <c r="I27" s="8">
        <v>1450</v>
      </c>
      <c r="J27" s="1">
        <v>224</v>
      </c>
      <c r="K27" s="14">
        <f t="shared" si="2"/>
        <v>0.36721311475409835</v>
      </c>
      <c r="L27" s="1">
        <v>386</v>
      </c>
      <c r="M27" s="14">
        <f t="shared" si="3"/>
        <v>0.63278688524590165</v>
      </c>
      <c r="N27" s="8">
        <f t="shared" si="0"/>
        <v>610</v>
      </c>
      <c r="O27" s="8">
        <v>28</v>
      </c>
      <c r="P27" s="14">
        <f t="shared" si="4"/>
        <v>4.3887147335423198E-2</v>
      </c>
    </row>
    <row r="28" spans="1:16" x14ac:dyDescent="0.35">
      <c r="A28" s="1">
        <v>1</v>
      </c>
      <c r="B28" s="1" t="s">
        <v>29</v>
      </c>
      <c r="C28" s="8">
        <v>1585</v>
      </c>
      <c r="D28" s="1">
        <v>8</v>
      </c>
      <c r="E28" s="8">
        <v>153</v>
      </c>
      <c r="F28" s="8">
        <v>470</v>
      </c>
      <c r="G28" s="8">
        <v>599</v>
      </c>
      <c r="H28" s="12">
        <f t="shared" si="1"/>
        <v>0.3779179810725552</v>
      </c>
      <c r="I28" s="8">
        <v>1450</v>
      </c>
      <c r="J28" s="1">
        <v>206</v>
      </c>
      <c r="K28" s="14">
        <f t="shared" si="2"/>
        <v>0.35456110154905335</v>
      </c>
      <c r="L28" s="1">
        <v>375</v>
      </c>
      <c r="M28" s="14">
        <f t="shared" si="3"/>
        <v>0.6454388984509466</v>
      </c>
      <c r="N28" s="8">
        <f t="shared" si="0"/>
        <v>581</v>
      </c>
      <c r="O28" s="8">
        <v>18</v>
      </c>
      <c r="P28" s="14">
        <f t="shared" si="4"/>
        <v>3.0050083472454091E-2</v>
      </c>
    </row>
    <row r="29" spans="1:16" x14ac:dyDescent="0.35">
      <c r="A29" s="1">
        <v>1</v>
      </c>
      <c r="B29" s="1" t="s">
        <v>30</v>
      </c>
      <c r="C29" s="8">
        <v>1388</v>
      </c>
      <c r="D29" s="1">
        <v>5</v>
      </c>
      <c r="E29" s="8">
        <v>213</v>
      </c>
      <c r="F29" s="8">
        <v>490</v>
      </c>
      <c r="G29" s="8">
        <v>619</v>
      </c>
      <c r="H29" s="12">
        <f t="shared" si="1"/>
        <v>0.44596541786743515</v>
      </c>
      <c r="I29" s="8">
        <v>1300</v>
      </c>
      <c r="J29" s="1">
        <v>242</v>
      </c>
      <c r="K29" s="14">
        <f t="shared" si="2"/>
        <v>0.41296928327645049</v>
      </c>
      <c r="L29" s="1">
        <v>344</v>
      </c>
      <c r="M29" s="14">
        <f t="shared" si="3"/>
        <v>0.58703071672354945</v>
      </c>
      <c r="N29" s="8">
        <f t="shared" si="0"/>
        <v>586</v>
      </c>
      <c r="O29" s="8">
        <v>33</v>
      </c>
      <c r="P29" s="14">
        <f t="shared" si="4"/>
        <v>5.3311793214862679E-2</v>
      </c>
    </row>
    <row r="30" spans="1:16" x14ac:dyDescent="0.35">
      <c r="A30" s="1">
        <v>1</v>
      </c>
      <c r="B30" s="1" t="s">
        <v>31</v>
      </c>
      <c r="C30" s="8">
        <v>1680</v>
      </c>
      <c r="D30" s="1">
        <v>0</v>
      </c>
      <c r="E30" s="8">
        <v>325</v>
      </c>
      <c r="F30" s="8">
        <v>752</v>
      </c>
      <c r="G30" s="8">
        <v>931</v>
      </c>
      <c r="H30" s="12">
        <f t="shared" si="1"/>
        <v>0.5541666666666667</v>
      </c>
      <c r="I30" s="8">
        <v>1500</v>
      </c>
      <c r="J30" s="1">
        <v>302</v>
      </c>
      <c r="K30" s="14">
        <f t="shared" si="2"/>
        <v>0.33932584269662919</v>
      </c>
      <c r="L30" s="1">
        <v>588</v>
      </c>
      <c r="M30" s="14">
        <f t="shared" si="3"/>
        <v>0.66067415730337076</v>
      </c>
      <c r="N30" s="8">
        <f t="shared" si="0"/>
        <v>890</v>
      </c>
      <c r="O30" s="8">
        <v>41</v>
      </c>
      <c r="P30" s="14">
        <f t="shared" si="4"/>
        <v>4.4038668098818477E-2</v>
      </c>
    </row>
    <row r="31" spans="1:16" x14ac:dyDescent="0.35">
      <c r="A31" s="1">
        <v>1</v>
      </c>
      <c r="B31" s="1" t="s">
        <v>32</v>
      </c>
      <c r="C31" s="8">
        <v>1407</v>
      </c>
      <c r="D31" s="1">
        <v>1</v>
      </c>
      <c r="E31" s="8">
        <v>174</v>
      </c>
      <c r="F31" s="8">
        <v>422</v>
      </c>
      <c r="G31" s="8">
        <v>536</v>
      </c>
      <c r="H31" s="12">
        <f t="shared" si="1"/>
        <v>0.38095238095238093</v>
      </c>
      <c r="I31" s="8">
        <v>1250</v>
      </c>
      <c r="J31" s="1">
        <v>182</v>
      </c>
      <c r="K31" s="14">
        <f t="shared" si="2"/>
        <v>0.35616438356164382</v>
      </c>
      <c r="L31" s="1">
        <v>329</v>
      </c>
      <c r="M31" s="14">
        <f t="shared" si="3"/>
        <v>0.64383561643835618</v>
      </c>
      <c r="N31" s="8">
        <f t="shared" si="0"/>
        <v>511</v>
      </c>
      <c r="O31" s="8">
        <v>25</v>
      </c>
      <c r="P31" s="14">
        <f t="shared" si="4"/>
        <v>4.6641791044776122E-2</v>
      </c>
    </row>
    <row r="32" spans="1:16" x14ac:dyDescent="0.35">
      <c r="A32" s="1">
        <v>1</v>
      </c>
      <c r="B32" s="1" t="s">
        <v>33</v>
      </c>
      <c r="C32" s="8">
        <v>1566</v>
      </c>
      <c r="D32" s="1">
        <v>1</v>
      </c>
      <c r="E32" s="8">
        <v>221</v>
      </c>
      <c r="F32" s="8">
        <v>483</v>
      </c>
      <c r="G32" s="8">
        <v>620</v>
      </c>
      <c r="H32" s="12">
        <f t="shared" si="1"/>
        <v>0.39591315453384418</v>
      </c>
      <c r="I32" s="8">
        <v>1400</v>
      </c>
      <c r="J32" s="1">
        <v>180</v>
      </c>
      <c r="K32" s="14">
        <f t="shared" si="2"/>
        <v>0.30354131534569984</v>
      </c>
      <c r="L32" s="1">
        <v>413</v>
      </c>
      <c r="M32" s="14">
        <f t="shared" si="3"/>
        <v>0.69645868465430016</v>
      </c>
      <c r="N32" s="8">
        <f t="shared" si="0"/>
        <v>593</v>
      </c>
      <c r="O32" s="8">
        <v>27</v>
      </c>
      <c r="P32" s="14">
        <f t="shared" si="4"/>
        <v>4.3548387096774194E-2</v>
      </c>
    </row>
    <row r="33" spans="1:16" s="11" customFormat="1" x14ac:dyDescent="0.35">
      <c r="A33" s="9">
        <v>1</v>
      </c>
      <c r="B33" s="9" t="s">
        <v>0</v>
      </c>
      <c r="C33" s="10">
        <f>SUM(C2:C32)</f>
        <v>43909</v>
      </c>
      <c r="D33" s="10">
        <f t="shared" ref="D33:L33" si="5">SUM(D2:D32)</f>
        <v>128</v>
      </c>
      <c r="E33" s="10">
        <f t="shared" si="5"/>
        <v>5814</v>
      </c>
      <c r="F33" s="10">
        <f t="shared" si="5"/>
        <v>14279</v>
      </c>
      <c r="G33" s="10">
        <f t="shared" si="5"/>
        <v>18121</v>
      </c>
      <c r="H33" s="13">
        <f>G33/C33</f>
        <v>0.41269443622036484</v>
      </c>
      <c r="I33" s="10">
        <f t="shared" si="5"/>
        <v>39500</v>
      </c>
      <c r="J33" s="10">
        <f t="shared" si="5"/>
        <v>6635</v>
      </c>
      <c r="K33" s="13">
        <f>J33/N33</f>
        <v>0.38167280257708236</v>
      </c>
      <c r="L33" s="10">
        <f t="shared" si="5"/>
        <v>10749</v>
      </c>
      <c r="M33" s="13">
        <f>L33/N33</f>
        <v>0.61832719742291764</v>
      </c>
      <c r="N33" s="10">
        <f>SUM(N2:N32)</f>
        <v>17384</v>
      </c>
      <c r="O33" s="10">
        <f t="shared" ref="O33" si="6">SUM(O2:O32)</f>
        <v>737</v>
      </c>
      <c r="P33" s="13">
        <f>O33/G33</f>
        <v>4.0671044644335304E-2</v>
      </c>
    </row>
  </sheetData>
  <pageMargins left="0.2" right="0.2" top="0.75" bottom="0.25" header="0.3" footer="0.3"/>
  <pageSetup paperSize="9" orientation="landscape" verticalDpi="0" r:id="rId1"/>
  <headerFooter>
    <oddHeader>&amp;Lპარლამენტის შუალედური არჩევნები&amp;R09.06.2019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პარლამენტი მეორე ტური</vt:lpstr>
      <vt:lpstr>'პარლამენტი მეორე ტური'!Print_Titles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რუსუდან ლელაშვილი</dc:creator>
  <cp:lastModifiedBy>მაია ფარქოსაძე</cp:lastModifiedBy>
  <cp:lastPrinted>2019-06-10T23:51:11Z</cp:lastPrinted>
  <dcterms:created xsi:type="dcterms:W3CDTF">2019-06-10T11:29:31Z</dcterms:created>
  <dcterms:modified xsi:type="dcterms:W3CDTF">2019-06-12T02:23:18Z</dcterms:modified>
</cp:coreProperties>
</file>