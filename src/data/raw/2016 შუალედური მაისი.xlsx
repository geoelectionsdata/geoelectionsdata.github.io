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E6FAC26A-0B84-47CE-B40A-E469AA4B7E42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შედეგები" sheetId="1" r:id="rId1"/>
    <sheet name="კანდიდატი" sheetId="2" r:id="rId2"/>
  </sheets>
  <definedNames>
    <definedName name="_xlnm.Print_Titles" localSheetId="0">შედეგები!$A:$C,შედეგები!$1:$1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1" l="1"/>
  <c r="G50" i="1"/>
  <c r="H50" i="1"/>
  <c r="E50" i="1"/>
  <c r="D50" i="1"/>
  <c r="Q39" i="1" l="1"/>
  <c r="O39" i="1"/>
  <c r="H55" i="1" l="1"/>
  <c r="H44" i="1"/>
  <c r="H39" i="1"/>
  <c r="H28" i="1"/>
  <c r="I28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9" i="1"/>
  <c r="I30" i="1"/>
  <c r="I31" i="1"/>
  <c r="I33" i="1"/>
  <c r="I34" i="1"/>
  <c r="I36" i="1"/>
  <c r="I37" i="1"/>
  <c r="I38" i="1"/>
  <c r="I39" i="1"/>
  <c r="I40" i="1"/>
  <c r="I41" i="1"/>
  <c r="I42" i="1"/>
  <c r="I43" i="1"/>
  <c r="I44" i="1"/>
  <c r="I45" i="1"/>
  <c r="I46" i="1"/>
  <c r="I48" i="1"/>
  <c r="I49" i="1"/>
  <c r="I50" i="1"/>
  <c r="I51" i="1"/>
  <c r="I52" i="1"/>
  <c r="I53" i="1"/>
  <c r="I54" i="1"/>
  <c r="I55" i="1"/>
  <c r="I2" i="1"/>
  <c r="Q50" i="1" l="1"/>
  <c r="J50" i="1"/>
  <c r="L50" i="1" l="1"/>
  <c r="O50" i="1"/>
  <c r="P47" i="1"/>
  <c r="O47" i="1"/>
  <c r="Q47" i="1"/>
  <c r="E47" i="1"/>
  <c r="F47" i="1"/>
  <c r="G47" i="1"/>
  <c r="H47" i="1"/>
  <c r="J47" i="1"/>
  <c r="D47" i="1"/>
  <c r="Q35" i="1"/>
  <c r="O35" i="1"/>
  <c r="K35" i="1"/>
  <c r="E35" i="1"/>
  <c r="F35" i="1"/>
  <c r="G35" i="1"/>
  <c r="H35" i="1"/>
  <c r="J35" i="1"/>
  <c r="D35" i="1"/>
  <c r="E32" i="1"/>
  <c r="F32" i="1"/>
  <c r="G32" i="1"/>
  <c r="H32" i="1"/>
  <c r="J32" i="1"/>
  <c r="K32" i="1"/>
  <c r="M32" i="1"/>
  <c r="O32" i="1"/>
  <c r="P32" i="1"/>
  <c r="Q32" i="1"/>
  <c r="D32" i="1"/>
  <c r="I35" i="1" l="1"/>
  <c r="I32" i="1"/>
  <c r="I47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8" i="1"/>
  <c r="R49" i="1"/>
  <c r="R51" i="1"/>
  <c r="R52" i="1"/>
  <c r="R53" i="1"/>
  <c r="R54" i="1"/>
  <c r="R55" i="1"/>
  <c r="R2" i="1"/>
  <c r="R50" i="1" l="1"/>
  <c r="R47" i="1"/>
  <c r="R32" i="1"/>
</calcChain>
</file>

<file path=xl/sharedStrings.xml><?xml version="1.0" encoding="utf-8"?>
<sst xmlns="http://schemas.openxmlformats.org/spreadsheetml/2006/main" count="174" uniqueCount="90">
  <si>
    <t>ჯამი:</t>
  </si>
  <si>
    <t>უბანი</t>
  </si>
  <si>
    <t>ოლქის ნომერი და დასახელება</t>
  </si>
  <si>
    <t>მაჟორიტარული ოლქი</t>
  </si>
  <si>
    <t>ამორჩეველთა რაოდენობა ერთიან სიაში</t>
  </si>
  <si>
    <t>ამომრჩეველთა რაოდენობა სპეციალური სიაში</t>
  </si>
  <si>
    <t>აქტივობა 12 სთ.</t>
  </si>
  <si>
    <t>აქტივობა 17 სთ.</t>
  </si>
  <si>
    <t>კენჭისყრაში მონაწილე ამომრჩეველთა რაოდენობა</t>
  </si>
  <si>
    <t>მიღებულ ბიულეტენთა რაოდენობა</t>
  </si>
  <si>
    <t>ბათილი</t>
  </si>
  <si>
    <t xml:space="preserve">ნამდვილი </t>
  </si>
  <si>
    <t>%</t>
  </si>
  <si>
    <t>შეჯამების თარიღი</t>
  </si>
  <si>
    <t>22.05.2016</t>
  </si>
  <si>
    <t>შეჯამების დრო</t>
  </si>
  <si>
    <t>23.05.2016</t>
  </si>
  <si>
    <t>vote_1</t>
  </si>
  <si>
    <t>vote_5</t>
  </si>
  <si>
    <t>vote_24</t>
  </si>
  <si>
    <t>vote_33</t>
  </si>
  <si>
    <t>vote_41</t>
  </si>
  <si>
    <r>
      <rPr>
        <b/>
        <sz val="11"/>
        <rFont val="Calibri"/>
        <family val="2"/>
      </rPr>
      <t>#</t>
    </r>
  </si>
  <si>
    <r>
      <rPr>
        <b/>
        <sz val="11"/>
        <rFont val="Calibri"/>
        <family val="2"/>
      </rPr>
      <t>ოლქი</t>
    </r>
  </si>
  <si>
    <r>
      <rPr>
        <b/>
        <sz val="11"/>
        <rFont val="Calibri"/>
        <family val="2"/>
      </rPr>
      <t xml:space="preserve">მაჟორიტარული
</t>
    </r>
    <r>
      <rPr>
        <b/>
        <sz val="11"/>
        <rFont val="Calibri"/>
        <family val="2"/>
      </rPr>
      <t>ოლქი</t>
    </r>
  </si>
  <si>
    <r>
      <rPr>
        <b/>
        <sz val="11"/>
        <rFont val="Calibri"/>
        <family val="2"/>
      </rPr>
      <t xml:space="preserve">კანდიდატის
</t>
    </r>
    <r>
      <rPr>
        <b/>
        <sz val="11"/>
        <rFont val="Calibri"/>
        <family val="2"/>
      </rPr>
      <t>ნომერი</t>
    </r>
  </si>
  <si>
    <r>
      <rPr>
        <b/>
        <sz val="11"/>
        <rFont val="Calibri"/>
        <family val="2"/>
      </rPr>
      <t>წარმდგენი</t>
    </r>
  </si>
  <si>
    <r>
      <rPr>
        <b/>
        <sz val="11"/>
        <rFont val="Calibri"/>
        <family val="2"/>
      </rPr>
      <t>სახელი</t>
    </r>
  </si>
  <si>
    <r>
      <rPr>
        <b/>
        <sz val="11"/>
        <rFont val="Calibri"/>
        <family val="2"/>
      </rPr>
      <t>გვარი</t>
    </r>
  </si>
  <si>
    <r>
      <rPr>
        <sz val="11"/>
        <rFont val="Sylfaen"/>
        <family val="1"/>
      </rPr>
      <t>გლდანი</t>
    </r>
  </si>
  <si>
    <r>
      <rPr>
        <sz val="11"/>
        <rFont val="Sylfaen"/>
        <family val="1"/>
      </rPr>
      <t>სახალხო ხელისუფლება</t>
    </r>
  </si>
  <si>
    <r>
      <rPr>
        <sz val="11"/>
        <rFont val="Sylfaen"/>
        <family val="1"/>
      </rPr>
      <t>ზურაბ</t>
    </r>
  </si>
  <si>
    <r>
      <rPr>
        <sz val="11"/>
        <rFont val="Sylfaen"/>
        <family val="1"/>
      </rPr>
      <t>კვანტალიანი</t>
    </r>
  </si>
  <si>
    <r>
      <rPr>
        <sz val="11"/>
        <rFont val="Sylfaen"/>
        <family val="1"/>
      </rPr>
      <t>თავისუფალი საქართველო</t>
    </r>
  </si>
  <si>
    <r>
      <rPr>
        <sz val="11"/>
        <rFont val="Sylfaen"/>
        <family val="1"/>
      </rPr>
      <t>ნინო</t>
    </r>
  </si>
  <si>
    <r>
      <rPr>
        <sz val="11"/>
        <rFont val="Sylfaen"/>
        <family val="1"/>
      </rPr>
      <t>ჯურხაძე</t>
    </r>
  </si>
  <si>
    <r>
      <rPr>
        <sz val="11"/>
        <rFont val="Sylfaen"/>
        <family val="1"/>
      </rPr>
      <t>ქართული ოცნება</t>
    </r>
  </si>
  <si>
    <r>
      <rPr>
        <sz val="11"/>
        <rFont val="Sylfaen"/>
        <family val="1"/>
      </rPr>
      <t>ბორია</t>
    </r>
  </si>
  <si>
    <r>
      <rPr>
        <sz val="11"/>
        <rFont val="Sylfaen"/>
        <family val="1"/>
      </rPr>
      <t>ფირცხელიანი</t>
    </r>
  </si>
  <si>
    <r>
      <rPr>
        <sz val="11"/>
        <rFont val="Sylfaen"/>
        <family val="1"/>
      </rPr>
      <t>გარდაბანი</t>
    </r>
  </si>
  <si>
    <r>
      <rPr>
        <sz val="11"/>
        <rFont val="Sylfaen"/>
        <family val="1"/>
      </rPr>
      <t>ტოფიკ</t>
    </r>
  </si>
  <si>
    <r>
      <rPr>
        <sz val="11"/>
        <rFont val="Sylfaen"/>
        <family val="1"/>
      </rPr>
      <t>ახმედოვი</t>
    </r>
  </si>
  <si>
    <r>
      <rPr>
        <sz val="11"/>
        <rFont val="Sylfaen"/>
        <family val="1"/>
      </rPr>
      <t>დავით</t>
    </r>
  </si>
  <si>
    <r>
      <rPr>
        <sz val="11"/>
        <rFont val="Sylfaen"/>
        <family val="1"/>
      </rPr>
      <t>ხვისტანი</t>
    </r>
  </si>
  <si>
    <r>
      <rPr>
        <sz val="11"/>
        <rFont val="Sylfaen"/>
        <family val="1"/>
      </rPr>
      <t>ფახრადინ</t>
    </r>
  </si>
  <si>
    <r>
      <rPr>
        <sz val="11"/>
        <rFont val="Sylfaen"/>
        <family val="1"/>
      </rPr>
      <t>შარიფოვი</t>
    </r>
  </si>
  <si>
    <r>
      <rPr>
        <sz val="11"/>
        <rFont val="Sylfaen"/>
        <family val="1"/>
      </rPr>
      <t xml:space="preserve">საინიციატივო ჯგუფი - თეიმურაზ
</t>
    </r>
    <r>
      <rPr>
        <sz val="11"/>
        <rFont val="Sylfaen"/>
        <family val="1"/>
      </rPr>
      <t xml:space="preserve">მამედოვი, ფაიარ კულიევი, ელვინ
</t>
    </r>
    <r>
      <rPr>
        <sz val="11"/>
        <rFont val="Sylfaen"/>
        <family val="1"/>
      </rPr>
      <t>ჯალილოვი, ფირდოვსი გაჯიევი, ნამიკ მამედოვი</t>
    </r>
  </si>
  <si>
    <r>
      <rPr>
        <sz val="11"/>
        <rFont val="Sylfaen"/>
        <family val="1"/>
      </rPr>
      <t>ჯემალ</t>
    </r>
  </si>
  <si>
    <r>
      <rPr>
        <sz val="11"/>
        <rFont val="Sylfaen"/>
        <family val="1"/>
      </rPr>
      <t>მურადხანოვი</t>
    </r>
  </si>
  <si>
    <r>
      <rPr>
        <sz val="11"/>
        <rFont val="Sylfaen"/>
        <family val="1"/>
      </rPr>
      <t>ჯამილა</t>
    </r>
  </si>
  <si>
    <r>
      <rPr>
        <sz val="11"/>
        <rFont val="Sylfaen"/>
        <family val="1"/>
      </rPr>
      <t>გასანოვა</t>
    </r>
  </si>
  <si>
    <r>
      <rPr>
        <sz val="11"/>
        <rFont val="Sylfaen"/>
        <family val="1"/>
      </rPr>
      <t>ვუგარ</t>
    </r>
  </si>
  <si>
    <r>
      <rPr>
        <sz val="11"/>
        <rFont val="Sylfaen"/>
        <family val="1"/>
      </rPr>
      <t>მამედოვი</t>
    </r>
  </si>
  <si>
    <r>
      <rPr>
        <sz val="11"/>
        <rFont val="Sylfaen"/>
        <family val="1"/>
      </rPr>
      <t>კასპი</t>
    </r>
  </si>
  <si>
    <r>
      <rPr>
        <sz val="11"/>
        <rFont val="Sylfaen"/>
        <family val="1"/>
      </rPr>
      <t>სოლომონ</t>
    </r>
  </si>
  <si>
    <r>
      <rPr>
        <sz val="11"/>
        <rFont val="Sylfaen"/>
        <family val="1"/>
      </rPr>
      <t>ტატანაშვილი</t>
    </r>
  </si>
  <si>
    <r>
      <rPr>
        <sz val="11"/>
        <rFont val="Sylfaen"/>
        <family val="1"/>
      </rPr>
      <t>ერთიანი ნაციონალური მოძრაობა</t>
    </r>
  </si>
  <si>
    <r>
      <rPr>
        <sz val="11"/>
        <rFont val="Sylfaen"/>
        <family val="1"/>
      </rPr>
      <t>ციცინო</t>
    </r>
  </si>
  <si>
    <r>
      <rPr>
        <sz val="11"/>
        <rFont val="Sylfaen"/>
        <family val="1"/>
      </rPr>
      <t>აბუაშვილი</t>
    </r>
  </si>
  <si>
    <r>
      <rPr>
        <sz val="11"/>
        <rFont val="Sylfaen"/>
        <family val="1"/>
      </rPr>
      <t>ალექსანდრე</t>
    </r>
  </si>
  <si>
    <r>
      <rPr>
        <sz val="11"/>
        <rFont val="Sylfaen"/>
        <family val="1"/>
      </rPr>
      <t>მერებაშვილი</t>
    </r>
  </si>
  <si>
    <r>
      <rPr>
        <sz val="11"/>
        <rFont val="Sylfaen"/>
        <family val="1"/>
      </rPr>
      <t>წყალტუბო</t>
    </r>
  </si>
  <si>
    <r>
      <rPr>
        <sz val="11"/>
        <rFont val="Sylfaen"/>
        <family val="1"/>
      </rPr>
      <t>მურადი</t>
    </r>
  </si>
  <si>
    <r>
      <rPr>
        <sz val="11"/>
        <rFont val="Sylfaen"/>
        <family val="1"/>
      </rPr>
      <t>ზაქარიაძე</t>
    </r>
  </si>
  <si>
    <r>
      <rPr>
        <sz val="11"/>
        <rFont val="Sylfaen"/>
        <family val="1"/>
      </rPr>
      <t>ბუხუტი</t>
    </r>
  </si>
  <si>
    <r>
      <rPr>
        <sz val="11"/>
        <rFont val="Sylfaen"/>
        <family val="1"/>
      </rPr>
      <t>ფირცხალავა</t>
    </r>
  </si>
  <si>
    <r>
      <rPr>
        <sz val="11"/>
        <rFont val="Sylfaen"/>
        <family val="1"/>
      </rPr>
      <t xml:space="preserve">ირაკლი ალასანია - თავისუფალი
</t>
    </r>
    <r>
      <rPr>
        <sz val="11"/>
        <rFont val="Sylfaen"/>
        <family val="1"/>
      </rPr>
      <t>დემოკრატები</t>
    </r>
  </si>
  <si>
    <r>
      <rPr>
        <sz val="11"/>
        <rFont val="Sylfaen"/>
        <family val="1"/>
      </rPr>
      <t>ივანე</t>
    </r>
  </si>
  <si>
    <r>
      <rPr>
        <sz val="11"/>
        <rFont val="Sylfaen"/>
        <family val="1"/>
      </rPr>
      <t>როყვა</t>
    </r>
  </si>
  <si>
    <r>
      <rPr>
        <sz val="11"/>
        <rFont val="Sylfaen"/>
        <family val="1"/>
      </rPr>
      <t>ოზურგეთი</t>
    </r>
  </si>
  <si>
    <r>
      <rPr>
        <sz val="11"/>
        <rFont val="Sylfaen"/>
        <family val="1"/>
      </rPr>
      <t xml:space="preserve">საინიციატივო ჯგუფი -  ივანე ხომერიკი, ლელა ქინქლაძე,  ვასილ ჩხაიძე,
</t>
    </r>
    <r>
      <rPr>
        <sz val="11"/>
        <rFont val="Sylfaen"/>
        <family val="1"/>
      </rPr>
      <t>ვლადიმერ სურგულაძე,  ლევან მგელაძე</t>
    </r>
  </si>
  <si>
    <r>
      <rPr>
        <sz val="11"/>
        <rFont val="Sylfaen"/>
        <family val="1"/>
      </rPr>
      <t>გრიგოლ</t>
    </r>
  </si>
  <si>
    <r>
      <rPr>
        <sz val="11"/>
        <rFont val="Sylfaen"/>
        <family val="1"/>
      </rPr>
      <t>კალანდარიშვილი</t>
    </r>
  </si>
  <si>
    <r>
      <rPr>
        <sz val="11"/>
        <rFont val="Sylfaen"/>
        <family val="1"/>
      </rPr>
      <t>ვასილ</t>
    </r>
  </si>
  <si>
    <r>
      <rPr>
        <sz val="11"/>
        <rFont val="Sylfaen"/>
        <family val="1"/>
      </rPr>
      <t>ჩიგოგიძე</t>
    </r>
  </si>
  <si>
    <r>
      <rPr>
        <sz val="11"/>
        <rFont val="Sylfaen"/>
        <family val="1"/>
      </rPr>
      <t>ბესიკი</t>
    </r>
  </si>
  <si>
    <r>
      <rPr>
        <sz val="11"/>
        <rFont val="Sylfaen"/>
        <family val="1"/>
      </rPr>
      <t>ქათამაძე</t>
    </r>
  </si>
  <si>
    <r>
      <rPr>
        <sz val="11"/>
        <rFont val="Sylfaen"/>
        <family val="1"/>
      </rPr>
      <t>ნონა</t>
    </r>
  </si>
  <si>
    <r>
      <rPr>
        <sz val="11"/>
        <rFont val="Sylfaen"/>
        <family val="1"/>
      </rPr>
      <t>ტუნაძე</t>
    </r>
  </si>
  <si>
    <r>
      <rPr>
        <sz val="11"/>
        <rFont val="Sylfaen"/>
        <family val="1"/>
      </rPr>
      <t>ხობი</t>
    </r>
  </si>
  <si>
    <r>
      <rPr>
        <sz val="11"/>
        <rFont val="Sylfaen"/>
        <family val="1"/>
      </rPr>
      <t>კობა</t>
    </r>
  </si>
  <si>
    <r>
      <rPr>
        <sz val="11"/>
        <rFont val="Sylfaen"/>
        <family val="1"/>
      </rPr>
      <t>კაკულია</t>
    </r>
  </si>
  <si>
    <r>
      <rPr>
        <sz val="11"/>
        <rFont val="Sylfaen"/>
        <family val="1"/>
      </rPr>
      <t>ზუგდიდი</t>
    </r>
  </si>
  <si>
    <r>
      <rPr>
        <sz val="11"/>
        <rFont val="Sylfaen"/>
        <family val="1"/>
      </rPr>
      <t>თეონა</t>
    </r>
  </si>
  <si>
    <r>
      <rPr>
        <sz val="11"/>
        <rFont val="Sylfaen"/>
        <family val="1"/>
      </rPr>
      <t>ქარდავა</t>
    </r>
  </si>
  <si>
    <r>
      <rPr>
        <sz val="11"/>
        <rFont val="Sylfaen"/>
        <family val="1"/>
      </rPr>
      <t>ვარადებული</t>
    </r>
  </si>
  <si>
    <r>
      <rPr>
        <sz val="11"/>
        <rFont val="Sylfaen"/>
        <family val="1"/>
      </rPr>
      <t>ლაშხია</t>
    </r>
  </si>
  <si>
    <r>
      <rPr>
        <sz val="11"/>
        <rFont val="Sylfaen"/>
        <family val="1"/>
      </rPr>
      <t>ამირან</t>
    </r>
  </si>
  <si>
    <r>
      <rPr>
        <sz val="11"/>
        <rFont val="Sylfaen"/>
        <family val="1"/>
      </rPr>
      <t>ლაგვილავა</t>
    </r>
  </si>
  <si>
    <t>maj_id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</si>
</sst>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yy\.mm\.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b/>
      <sz val="11"/>
      <name val="Calibri"/>
    </font>
    <font>
      <b/>
      <sz val="11"/>
      <name val="Calibri"/>
      <family val="2"/>
    </font>
    <font>
      <sz val="11"/>
      <color rgb="FF000000"/>
      <name val="Sylfaen"/>
      <family val="2"/>
    </font>
    <font>
      <sz val="11"/>
      <name val="Sylfaen"/>
    </font>
    <font>
      <sz val="1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AF5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0" fontId="3" fillId="0" borderId="2" xfId="1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0" fontId="3" fillId="2" borderId="2" xfId="1" applyNumberFormat="1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1" fontId="6" fillId="0" borderId="4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165" fontId="6" fillId="0" borderId="4" xfId="0" applyNumberFormat="1" applyFont="1" applyBorder="1" applyAlignment="1">
      <alignment horizontal="center" vertical="top" shrinkToFit="1"/>
    </xf>
    <xf numFmtId="0" fontId="4" fillId="3" borderId="4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0" fontId="4" fillId="3" borderId="4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center" vertical="top"/>
    </xf>
    <xf numFmtId="1" fontId="6" fillId="0" borderId="4" xfId="0" applyNumberFormat="1" applyFont="1" applyBorder="1" applyAlignment="1">
      <alignment horizontal="right" vertical="top" shrinkToFit="1"/>
    </xf>
    <xf numFmtId="0" fontId="7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49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tabSelected="1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07421875" defaultRowHeight="15.9" x14ac:dyDescent="0.5"/>
  <cols>
    <col min="1" max="2" width="22.53515625" style="4" customWidth="1"/>
    <col min="3" max="3" width="11.07421875" style="4" customWidth="1"/>
    <col min="4" max="4" width="20.3046875" style="4" customWidth="1"/>
    <col min="5" max="5" width="22" style="4" customWidth="1"/>
    <col min="6" max="6" width="12.84375" style="4" customWidth="1"/>
    <col min="7" max="7" width="12.53515625" style="4" customWidth="1"/>
    <col min="8" max="8" width="19.3046875" style="4" customWidth="1"/>
    <col min="9" max="9" width="8" style="4" bestFit="1" customWidth="1"/>
    <col min="10" max="10" width="16.84375" style="4" bestFit="1" customWidth="1"/>
    <col min="11" max="13" width="5.07421875" style="4" bestFit="1" customWidth="1"/>
    <col min="14" max="14" width="3.84375" style="4" bestFit="1" customWidth="1"/>
    <col min="15" max="15" width="6.4609375" style="4" bestFit="1" customWidth="1"/>
    <col min="16" max="16" width="5.07421875" style="4" bestFit="1" customWidth="1"/>
    <col min="17" max="17" width="11.4609375" style="4" bestFit="1" customWidth="1"/>
    <col min="18" max="18" width="12.69140625" style="4" customWidth="1"/>
    <col min="19" max="19" width="12.4609375" style="2" customWidth="1"/>
    <col min="20" max="20" width="12.69140625" style="2" customWidth="1"/>
    <col min="21" max="16384" width="9.07421875" style="2"/>
  </cols>
  <sheetData>
    <row r="1" spans="1:21" ht="15" customHeight="1" x14ac:dyDescent="0.5">
      <c r="A1" s="14" t="s">
        <v>2</v>
      </c>
      <c r="B1" s="14" t="s">
        <v>3</v>
      </c>
      <c r="C1" s="14" t="s">
        <v>1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3" t="s">
        <v>12</v>
      </c>
      <c r="J1" s="14" t="s">
        <v>9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P1" s="7">
        <v>42</v>
      </c>
      <c r="Q1" s="14" t="s">
        <v>10</v>
      </c>
      <c r="R1" s="14" t="s">
        <v>11</v>
      </c>
      <c r="S1" s="14" t="s">
        <v>13</v>
      </c>
      <c r="T1" s="14" t="s">
        <v>15</v>
      </c>
      <c r="U1" s="2" t="s">
        <v>89</v>
      </c>
    </row>
    <row r="2" spans="1:21" x14ac:dyDescent="0.5">
      <c r="A2" s="5">
        <v>10</v>
      </c>
      <c r="B2" s="5">
        <v>10.220000000000001</v>
      </c>
      <c r="C2" s="5">
        <v>1</v>
      </c>
      <c r="D2" s="5">
        <v>1686</v>
      </c>
      <c r="E2" s="5">
        <v>2</v>
      </c>
      <c r="F2" s="5">
        <v>128</v>
      </c>
      <c r="G2" s="5">
        <v>285</v>
      </c>
      <c r="H2" s="5">
        <v>350</v>
      </c>
      <c r="I2" s="6">
        <f>H2/D2</f>
        <v>0.20759193357058126</v>
      </c>
      <c r="J2" s="5">
        <v>1500</v>
      </c>
      <c r="K2" s="5">
        <v>62</v>
      </c>
      <c r="L2" s="5"/>
      <c r="M2" s="5">
        <v>15</v>
      </c>
      <c r="N2" s="5"/>
      <c r="O2" s="5">
        <v>241</v>
      </c>
      <c r="P2" s="5"/>
      <c r="Q2" s="5">
        <v>32</v>
      </c>
      <c r="R2" s="1">
        <f t="shared" ref="R2:R31" si="0">SUM(K2,L2,M2,N2,O2,P2)</f>
        <v>318</v>
      </c>
      <c r="S2" s="9" t="s">
        <v>14</v>
      </c>
      <c r="T2" s="10">
        <v>0.91666666666666663</v>
      </c>
      <c r="U2" s="2">
        <v>1022</v>
      </c>
    </row>
    <row r="3" spans="1:21" x14ac:dyDescent="0.5">
      <c r="A3" s="1">
        <v>10</v>
      </c>
      <c r="B3" s="1">
        <v>10.220000000000001</v>
      </c>
      <c r="C3" s="1">
        <v>2</v>
      </c>
      <c r="D3" s="1">
        <v>1625</v>
      </c>
      <c r="E3" s="1">
        <v>3</v>
      </c>
      <c r="F3" s="1">
        <v>118</v>
      </c>
      <c r="G3" s="1">
        <v>247</v>
      </c>
      <c r="H3" s="1">
        <v>320</v>
      </c>
      <c r="I3" s="6">
        <f t="shared" ref="I3:I55" si="1">H3/D3</f>
        <v>0.19692307692307692</v>
      </c>
      <c r="J3" s="1">
        <v>1450</v>
      </c>
      <c r="K3" s="1">
        <v>44</v>
      </c>
      <c r="L3" s="1"/>
      <c r="M3" s="1">
        <v>20</v>
      </c>
      <c r="N3" s="1"/>
      <c r="O3" s="1">
        <v>221</v>
      </c>
      <c r="P3" s="1"/>
      <c r="Q3" s="1">
        <v>35</v>
      </c>
      <c r="R3" s="1">
        <f t="shared" si="0"/>
        <v>285</v>
      </c>
      <c r="S3" s="9" t="s">
        <v>14</v>
      </c>
      <c r="T3" s="10">
        <v>0.89930555555555547</v>
      </c>
      <c r="U3" s="2">
        <v>1022</v>
      </c>
    </row>
    <row r="4" spans="1:21" x14ac:dyDescent="0.5">
      <c r="A4" s="5">
        <v>10</v>
      </c>
      <c r="B4" s="5">
        <v>10.220000000000001</v>
      </c>
      <c r="C4" s="1">
        <v>3</v>
      </c>
      <c r="D4" s="1">
        <v>1387</v>
      </c>
      <c r="E4" s="1">
        <v>4</v>
      </c>
      <c r="F4" s="1">
        <v>79</v>
      </c>
      <c r="G4" s="1">
        <v>174</v>
      </c>
      <c r="H4" s="1">
        <v>231</v>
      </c>
      <c r="I4" s="6">
        <f t="shared" si="1"/>
        <v>0.16654650324441239</v>
      </c>
      <c r="J4" s="1">
        <v>1250</v>
      </c>
      <c r="K4" s="1">
        <v>28</v>
      </c>
      <c r="L4" s="1"/>
      <c r="M4" s="1">
        <v>11</v>
      </c>
      <c r="N4" s="1"/>
      <c r="O4" s="1">
        <v>162</v>
      </c>
      <c r="P4" s="1"/>
      <c r="Q4" s="1">
        <v>30</v>
      </c>
      <c r="R4" s="1">
        <f t="shared" si="0"/>
        <v>201</v>
      </c>
      <c r="S4" s="9" t="s">
        <v>14</v>
      </c>
      <c r="T4" s="10"/>
      <c r="U4" s="2">
        <v>1022</v>
      </c>
    </row>
    <row r="5" spans="1:21" x14ac:dyDescent="0.5">
      <c r="A5" s="1">
        <v>10</v>
      </c>
      <c r="B5" s="1">
        <v>10.220000000000001</v>
      </c>
      <c r="C5" s="1">
        <v>4</v>
      </c>
      <c r="D5" s="1">
        <v>1498</v>
      </c>
      <c r="E5" s="1">
        <v>5</v>
      </c>
      <c r="F5" s="1">
        <v>62</v>
      </c>
      <c r="G5" s="1">
        <v>139</v>
      </c>
      <c r="H5" s="1">
        <v>219</v>
      </c>
      <c r="I5" s="6">
        <f t="shared" si="1"/>
        <v>0.14619492656875835</v>
      </c>
      <c r="J5" s="1">
        <v>1400</v>
      </c>
      <c r="K5" s="1">
        <v>42</v>
      </c>
      <c r="L5" s="1"/>
      <c r="M5" s="1">
        <v>6</v>
      </c>
      <c r="N5" s="1"/>
      <c r="O5" s="1">
        <v>158</v>
      </c>
      <c r="P5" s="1"/>
      <c r="Q5" s="1">
        <v>13</v>
      </c>
      <c r="R5" s="1">
        <f t="shared" si="0"/>
        <v>206</v>
      </c>
      <c r="S5" s="9" t="s">
        <v>14</v>
      </c>
      <c r="T5" s="10">
        <v>0.90208333333333324</v>
      </c>
      <c r="U5" s="2">
        <v>1022</v>
      </c>
    </row>
    <row r="6" spans="1:21" x14ac:dyDescent="0.5">
      <c r="A6" s="5">
        <v>10</v>
      </c>
      <c r="B6" s="5">
        <v>10.220000000000001</v>
      </c>
      <c r="C6" s="1">
        <v>5</v>
      </c>
      <c r="D6" s="1">
        <v>1690</v>
      </c>
      <c r="E6" s="1">
        <v>5</v>
      </c>
      <c r="F6" s="1">
        <v>99</v>
      </c>
      <c r="G6" s="1">
        <v>198</v>
      </c>
      <c r="H6" s="1">
        <v>286</v>
      </c>
      <c r="I6" s="6">
        <f t="shared" si="1"/>
        <v>0.16923076923076924</v>
      </c>
      <c r="J6" s="1">
        <v>1500</v>
      </c>
      <c r="K6" s="1">
        <v>30</v>
      </c>
      <c r="L6" s="1"/>
      <c r="M6" s="1">
        <v>18</v>
      </c>
      <c r="N6" s="1"/>
      <c r="O6" s="1">
        <v>208</v>
      </c>
      <c r="P6" s="1"/>
      <c r="Q6" s="1">
        <v>30</v>
      </c>
      <c r="R6" s="1">
        <f t="shared" si="0"/>
        <v>256</v>
      </c>
      <c r="S6" s="9" t="s">
        <v>14</v>
      </c>
      <c r="T6" s="10">
        <v>0.90625</v>
      </c>
      <c r="U6" s="2">
        <v>1022</v>
      </c>
    </row>
    <row r="7" spans="1:21" x14ac:dyDescent="0.5">
      <c r="A7" s="1">
        <v>10</v>
      </c>
      <c r="B7" s="1">
        <v>10.220000000000001</v>
      </c>
      <c r="C7" s="1">
        <v>6</v>
      </c>
      <c r="D7" s="1">
        <v>1301</v>
      </c>
      <c r="E7" s="1">
        <v>5</v>
      </c>
      <c r="F7" s="1">
        <v>49</v>
      </c>
      <c r="G7" s="1">
        <v>132</v>
      </c>
      <c r="H7" s="1">
        <v>182</v>
      </c>
      <c r="I7" s="6">
        <f t="shared" si="1"/>
        <v>0.13989239046887009</v>
      </c>
      <c r="J7" s="1">
        <v>1200</v>
      </c>
      <c r="K7" s="1">
        <v>20</v>
      </c>
      <c r="L7" s="1"/>
      <c r="M7" s="1">
        <v>4</v>
      </c>
      <c r="N7" s="1"/>
      <c r="O7" s="1">
        <v>132</v>
      </c>
      <c r="P7" s="1"/>
      <c r="Q7" s="1">
        <v>26</v>
      </c>
      <c r="R7" s="1">
        <f t="shared" si="0"/>
        <v>156</v>
      </c>
      <c r="S7" s="9" t="s">
        <v>14</v>
      </c>
      <c r="T7" s="10">
        <v>0.8666666666666667</v>
      </c>
      <c r="U7" s="2">
        <v>1022</v>
      </c>
    </row>
    <row r="8" spans="1:21" x14ac:dyDescent="0.5">
      <c r="A8" s="5">
        <v>10</v>
      </c>
      <c r="B8" s="5">
        <v>10.220000000000001</v>
      </c>
      <c r="C8" s="1">
        <v>7</v>
      </c>
      <c r="D8" s="1">
        <v>1363</v>
      </c>
      <c r="E8" s="1">
        <v>1</v>
      </c>
      <c r="F8" s="1">
        <v>38</v>
      </c>
      <c r="G8" s="1">
        <v>105</v>
      </c>
      <c r="H8" s="1">
        <v>148</v>
      </c>
      <c r="I8" s="6">
        <f t="shared" si="1"/>
        <v>0.10858400586940573</v>
      </c>
      <c r="J8" s="1">
        <v>1250</v>
      </c>
      <c r="K8" s="1">
        <v>23</v>
      </c>
      <c r="L8" s="1"/>
      <c r="M8" s="1">
        <v>10</v>
      </c>
      <c r="N8" s="1"/>
      <c r="O8" s="1">
        <v>94</v>
      </c>
      <c r="P8" s="1"/>
      <c r="Q8" s="1">
        <v>21</v>
      </c>
      <c r="R8" s="1">
        <f t="shared" si="0"/>
        <v>127</v>
      </c>
      <c r="S8" s="9" t="s">
        <v>14</v>
      </c>
      <c r="T8" s="10">
        <v>0.89583333333333337</v>
      </c>
      <c r="U8" s="2">
        <v>1022</v>
      </c>
    </row>
    <row r="9" spans="1:21" x14ac:dyDescent="0.5">
      <c r="A9" s="1">
        <v>10</v>
      </c>
      <c r="B9" s="1">
        <v>10.220000000000001</v>
      </c>
      <c r="C9" s="1">
        <v>8</v>
      </c>
      <c r="D9" s="1">
        <v>1242</v>
      </c>
      <c r="E9" s="1">
        <v>4</v>
      </c>
      <c r="F9" s="1">
        <v>56</v>
      </c>
      <c r="G9" s="1">
        <v>137</v>
      </c>
      <c r="H9" s="1">
        <v>175</v>
      </c>
      <c r="I9" s="6">
        <f t="shared" si="1"/>
        <v>0.14090177133655393</v>
      </c>
      <c r="J9" s="1">
        <v>1100</v>
      </c>
      <c r="K9" s="1">
        <v>27</v>
      </c>
      <c r="L9" s="1"/>
      <c r="M9" s="1">
        <v>19</v>
      </c>
      <c r="N9" s="1"/>
      <c r="O9" s="1">
        <v>106</v>
      </c>
      <c r="P9" s="1"/>
      <c r="Q9" s="1">
        <v>23</v>
      </c>
      <c r="R9" s="1">
        <f t="shared" si="0"/>
        <v>152</v>
      </c>
      <c r="S9" s="9" t="s">
        <v>14</v>
      </c>
      <c r="T9" s="10">
        <v>0.88888888888888884</v>
      </c>
      <c r="U9" s="2">
        <v>1022</v>
      </c>
    </row>
    <row r="10" spans="1:21" x14ac:dyDescent="0.5">
      <c r="A10" s="5">
        <v>10</v>
      </c>
      <c r="B10" s="5">
        <v>10.220000000000001</v>
      </c>
      <c r="C10" s="1">
        <v>9</v>
      </c>
      <c r="D10" s="1">
        <v>1505</v>
      </c>
      <c r="E10" s="1">
        <v>7</v>
      </c>
      <c r="F10" s="1">
        <v>54</v>
      </c>
      <c r="G10" s="1">
        <v>129</v>
      </c>
      <c r="H10" s="1">
        <v>170</v>
      </c>
      <c r="I10" s="6">
        <f t="shared" si="1"/>
        <v>0.11295681063122924</v>
      </c>
      <c r="J10" s="1">
        <v>1350</v>
      </c>
      <c r="K10" s="1">
        <v>13</v>
      </c>
      <c r="L10" s="1"/>
      <c r="M10" s="1">
        <v>6</v>
      </c>
      <c r="N10" s="1"/>
      <c r="O10" s="1">
        <v>130</v>
      </c>
      <c r="P10" s="1"/>
      <c r="Q10" s="1">
        <v>21</v>
      </c>
      <c r="R10" s="1">
        <f t="shared" si="0"/>
        <v>149</v>
      </c>
      <c r="S10" s="9" t="s">
        <v>14</v>
      </c>
      <c r="T10" s="10">
        <v>0.89583333333333337</v>
      </c>
      <c r="U10" s="2">
        <v>1022</v>
      </c>
    </row>
    <row r="11" spans="1:21" x14ac:dyDescent="0.5">
      <c r="A11" s="1">
        <v>10</v>
      </c>
      <c r="B11" s="1">
        <v>10.220000000000001</v>
      </c>
      <c r="C11" s="1">
        <v>10</v>
      </c>
      <c r="D11" s="1">
        <v>1335</v>
      </c>
      <c r="E11" s="1">
        <v>5</v>
      </c>
      <c r="F11" s="1">
        <v>77</v>
      </c>
      <c r="G11" s="1">
        <v>127</v>
      </c>
      <c r="H11" s="1">
        <v>156</v>
      </c>
      <c r="I11" s="6">
        <f t="shared" si="1"/>
        <v>0.11685393258426967</v>
      </c>
      <c r="J11" s="1">
        <v>1200</v>
      </c>
      <c r="K11" s="1">
        <v>12</v>
      </c>
      <c r="L11" s="1"/>
      <c r="M11" s="1">
        <v>7</v>
      </c>
      <c r="N11" s="1"/>
      <c r="O11" s="1">
        <v>123</v>
      </c>
      <c r="P11" s="1"/>
      <c r="Q11" s="1">
        <v>14</v>
      </c>
      <c r="R11" s="1">
        <f t="shared" si="0"/>
        <v>142</v>
      </c>
      <c r="S11" s="9" t="s">
        <v>14</v>
      </c>
      <c r="T11" s="10">
        <v>0.88402777777777775</v>
      </c>
      <c r="U11" s="2">
        <v>1022</v>
      </c>
    </row>
    <row r="12" spans="1:21" x14ac:dyDescent="0.5">
      <c r="A12" s="5">
        <v>10</v>
      </c>
      <c r="B12" s="5">
        <v>10.220000000000001</v>
      </c>
      <c r="C12" s="1">
        <v>11</v>
      </c>
      <c r="D12" s="1">
        <v>1451</v>
      </c>
      <c r="E12" s="1">
        <v>2</v>
      </c>
      <c r="F12" s="1">
        <v>40</v>
      </c>
      <c r="G12" s="1">
        <v>137</v>
      </c>
      <c r="H12" s="1">
        <v>170</v>
      </c>
      <c r="I12" s="6">
        <f t="shared" si="1"/>
        <v>0.1171605789110958</v>
      </c>
      <c r="J12" s="1">
        <v>1300</v>
      </c>
      <c r="K12" s="1">
        <v>31</v>
      </c>
      <c r="L12" s="1"/>
      <c r="M12" s="1">
        <v>13</v>
      </c>
      <c r="N12" s="1"/>
      <c r="O12" s="1">
        <v>114</v>
      </c>
      <c r="P12" s="1"/>
      <c r="Q12" s="1">
        <v>12</v>
      </c>
      <c r="R12" s="1">
        <f t="shared" si="0"/>
        <v>158</v>
      </c>
      <c r="S12" s="9" t="s">
        <v>14</v>
      </c>
      <c r="T12" s="10">
        <v>0.90833333333333333</v>
      </c>
      <c r="U12" s="2">
        <v>1022</v>
      </c>
    </row>
    <row r="13" spans="1:21" x14ac:dyDescent="0.5">
      <c r="A13" s="1">
        <v>10</v>
      </c>
      <c r="B13" s="1">
        <v>10.220000000000001</v>
      </c>
      <c r="C13" s="1">
        <v>12</v>
      </c>
      <c r="D13" s="1">
        <v>1241</v>
      </c>
      <c r="E13" s="1">
        <v>5</v>
      </c>
      <c r="F13" s="1">
        <v>76</v>
      </c>
      <c r="G13" s="1">
        <v>149</v>
      </c>
      <c r="H13" s="1">
        <v>200</v>
      </c>
      <c r="I13" s="6">
        <f t="shared" si="1"/>
        <v>0.16116035455278002</v>
      </c>
      <c r="J13" s="1">
        <v>1150</v>
      </c>
      <c r="K13" s="1">
        <v>16</v>
      </c>
      <c r="L13" s="1"/>
      <c r="M13" s="1">
        <v>5</v>
      </c>
      <c r="N13" s="1"/>
      <c r="O13" s="1">
        <v>152</v>
      </c>
      <c r="P13" s="1"/>
      <c r="Q13" s="1">
        <v>27</v>
      </c>
      <c r="R13" s="1">
        <f t="shared" si="0"/>
        <v>173</v>
      </c>
      <c r="S13" s="9" t="s">
        <v>14</v>
      </c>
      <c r="T13" s="10">
        <v>0.90416666666666667</v>
      </c>
      <c r="U13" s="2">
        <v>1022</v>
      </c>
    </row>
    <row r="14" spans="1:21" x14ac:dyDescent="0.5">
      <c r="A14" s="5">
        <v>10</v>
      </c>
      <c r="B14" s="5">
        <v>10.220000000000001</v>
      </c>
      <c r="C14" s="1">
        <v>13</v>
      </c>
      <c r="D14" s="1">
        <v>1260</v>
      </c>
      <c r="E14" s="1">
        <v>3</v>
      </c>
      <c r="F14" s="1">
        <v>49</v>
      </c>
      <c r="G14" s="1">
        <v>127</v>
      </c>
      <c r="H14" s="1">
        <v>164</v>
      </c>
      <c r="I14" s="6">
        <f t="shared" si="1"/>
        <v>0.13015873015873017</v>
      </c>
      <c r="J14" s="1">
        <v>1150</v>
      </c>
      <c r="K14" s="1">
        <v>16</v>
      </c>
      <c r="L14" s="1"/>
      <c r="M14" s="1">
        <v>8</v>
      </c>
      <c r="N14" s="1"/>
      <c r="O14" s="1">
        <v>123</v>
      </c>
      <c r="P14" s="1"/>
      <c r="Q14" s="1">
        <v>17</v>
      </c>
      <c r="R14" s="1">
        <f t="shared" si="0"/>
        <v>147</v>
      </c>
      <c r="S14" s="9" t="s">
        <v>14</v>
      </c>
      <c r="T14" s="10">
        <v>0.88958333333333339</v>
      </c>
      <c r="U14" s="2">
        <v>1022</v>
      </c>
    </row>
    <row r="15" spans="1:21" x14ac:dyDescent="0.5">
      <c r="A15" s="1">
        <v>10</v>
      </c>
      <c r="B15" s="1">
        <v>10.220000000000001</v>
      </c>
      <c r="C15" s="1">
        <v>14</v>
      </c>
      <c r="D15" s="1">
        <v>1373</v>
      </c>
      <c r="E15" s="1">
        <v>3</v>
      </c>
      <c r="F15" s="1">
        <v>80</v>
      </c>
      <c r="G15" s="1">
        <v>227</v>
      </c>
      <c r="H15" s="1">
        <v>297</v>
      </c>
      <c r="I15" s="6">
        <f t="shared" si="1"/>
        <v>0.21631463947560087</v>
      </c>
      <c r="J15" s="1">
        <v>1250</v>
      </c>
      <c r="K15" s="1">
        <v>23</v>
      </c>
      <c r="L15" s="1"/>
      <c r="M15" s="1">
        <v>13</v>
      </c>
      <c r="N15" s="1"/>
      <c r="O15" s="1">
        <v>248</v>
      </c>
      <c r="P15" s="1"/>
      <c r="Q15" s="1">
        <v>13</v>
      </c>
      <c r="R15" s="1">
        <f t="shared" si="0"/>
        <v>284</v>
      </c>
      <c r="S15" s="9" t="s">
        <v>14</v>
      </c>
      <c r="T15" s="10">
        <v>0.89097222222222217</v>
      </c>
      <c r="U15" s="2">
        <v>1022</v>
      </c>
    </row>
    <row r="16" spans="1:21" x14ac:dyDescent="0.5">
      <c r="A16" s="5">
        <v>10</v>
      </c>
      <c r="B16" s="5">
        <v>10.220000000000001</v>
      </c>
      <c r="C16" s="1">
        <v>15</v>
      </c>
      <c r="D16" s="1">
        <v>1157</v>
      </c>
      <c r="E16" s="1">
        <v>4</v>
      </c>
      <c r="F16" s="1">
        <v>59</v>
      </c>
      <c r="G16" s="1">
        <v>154</v>
      </c>
      <c r="H16" s="1">
        <v>215</v>
      </c>
      <c r="I16" s="6">
        <f t="shared" si="1"/>
        <v>0.18582541054451165</v>
      </c>
      <c r="J16" s="1">
        <v>1050</v>
      </c>
      <c r="K16" s="1">
        <v>19</v>
      </c>
      <c r="L16" s="1"/>
      <c r="M16" s="1">
        <v>6</v>
      </c>
      <c r="N16" s="1"/>
      <c r="O16" s="1">
        <v>169</v>
      </c>
      <c r="P16" s="1"/>
      <c r="Q16" s="1">
        <v>21</v>
      </c>
      <c r="R16" s="1">
        <f t="shared" si="0"/>
        <v>194</v>
      </c>
      <c r="S16" s="9" t="s">
        <v>14</v>
      </c>
      <c r="T16" s="10">
        <v>0.89583333333333337</v>
      </c>
      <c r="U16" s="2">
        <v>1022</v>
      </c>
    </row>
    <row r="17" spans="1:21" x14ac:dyDescent="0.5">
      <c r="A17" s="1">
        <v>10</v>
      </c>
      <c r="B17" s="1">
        <v>10.220000000000001</v>
      </c>
      <c r="C17" s="1">
        <v>16</v>
      </c>
      <c r="D17" s="1">
        <v>1239</v>
      </c>
      <c r="E17" s="1">
        <v>1</v>
      </c>
      <c r="F17" s="1">
        <v>33</v>
      </c>
      <c r="G17" s="1">
        <v>85</v>
      </c>
      <c r="H17" s="1">
        <v>115</v>
      </c>
      <c r="I17" s="6">
        <f t="shared" si="1"/>
        <v>9.2816787732041967E-2</v>
      </c>
      <c r="J17" s="1">
        <v>1150</v>
      </c>
      <c r="K17" s="1">
        <v>16</v>
      </c>
      <c r="L17" s="1"/>
      <c r="M17" s="1">
        <v>10</v>
      </c>
      <c r="N17" s="1"/>
      <c r="O17" s="1">
        <v>83</v>
      </c>
      <c r="P17" s="1"/>
      <c r="Q17" s="1">
        <v>6</v>
      </c>
      <c r="R17" s="1">
        <f t="shared" si="0"/>
        <v>109</v>
      </c>
      <c r="S17" s="9" t="s">
        <v>14</v>
      </c>
      <c r="T17" s="10">
        <v>0.89583333333333337</v>
      </c>
      <c r="U17" s="2">
        <v>1022</v>
      </c>
    </row>
    <row r="18" spans="1:21" x14ac:dyDescent="0.5">
      <c r="A18" s="5">
        <v>10</v>
      </c>
      <c r="B18" s="5">
        <v>10.220000000000001</v>
      </c>
      <c r="C18" s="1">
        <v>17</v>
      </c>
      <c r="D18" s="1">
        <v>1116</v>
      </c>
      <c r="E18" s="1">
        <v>5</v>
      </c>
      <c r="F18" s="1">
        <v>32</v>
      </c>
      <c r="G18" s="1">
        <v>83</v>
      </c>
      <c r="H18" s="1">
        <v>102</v>
      </c>
      <c r="I18" s="6">
        <f t="shared" si="1"/>
        <v>9.1397849462365593E-2</v>
      </c>
      <c r="J18" s="1">
        <v>1000</v>
      </c>
      <c r="K18" s="1">
        <v>12</v>
      </c>
      <c r="L18" s="1"/>
      <c r="M18" s="1">
        <v>6</v>
      </c>
      <c r="N18" s="1"/>
      <c r="O18" s="1">
        <v>63</v>
      </c>
      <c r="P18" s="1"/>
      <c r="Q18" s="1">
        <v>21</v>
      </c>
      <c r="R18" s="1">
        <f t="shared" si="0"/>
        <v>81</v>
      </c>
      <c r="S18" s="9" t="s">
        <v>14</v>
      </c>
      <c r="T18" s="10">
        <v>0.8979166666666667</v>
      </c>
      <c r="U18" s="2">
        <v>1022</v>
      </c>
    </row>
    <row r="19" spans="1:21" x14ac:dyDescent="0.5">
      <c r="A19" s="1">
        <v>10</v>
      </c>
      <c r="B19" s="1">
        <v>10.220000000000001</v>
      </c>
      <c r="C19" s="1">
        <v>18</v>
      </c>
      <c r="D19" s="1">
        <v>1036</v>
      </c>
      <c r="E19" s="1">
        <v>3</v>
      </c>
      <c r="F19" s="1">
        <v>31</v>
      </c>
      <c r="G19" s="1">
        <v>102</v>
      </c>
      <c r="H19" s="1">
        <v>118</v>
      </c>
      <c r="I19" s="6">
        <f t="shared" si="1"/>
        <v>0.11389961389961389</v>
      </c>
      <c r="J19" s="1">
        <v>950</v>
      </c>
      <c r="K19" s="1">
        <v>25</v>
      </c>
      <c r="L19" s="1"/>
      <c r="M19" s="1">
        <v>11</v>
      </c>
      <c r="N19" s="1"/>
      <c r="O19" s="1">
        <v>66</v>
      </c>
      <c r="P19" s="1"/>
      <c r="Q19" s="1">
        <v>16</v>
      </c>
      <c r="R19" s="1">
        <f t="shared" si="0"/>
        <v>102</v>
      </c>
      <c r="S19" s="9" t="s">
        <v>14</v>
      </c>
      <c r="T19" s="10">
        <v>0.86805555555555547</v>
      </c>
      <c r="U19" s="2">
        <v>1022</v>
      </c>
    </row>
    <row r="20" spans="1:21" x14ac:dyDescent="0.5">
      <c r="A20" s="5">
        <v>10</v>
      </c>
      <c r="B20" s="5">
        <v>10.220000000000001</v>
      </c>
      <c r="C20" s="1">
        <v>19</v>
      </c>
      <c r="D20" s="1">
        <v>1399</v>
      </c>
      <c r="E20" s="1">
        <v>4</v>
      </c>
      <c r="F20" s="1">
        <v>40</v>
      </c>
      <c r="G20" s="1">
        <v>121</v>
      </c>
      <c r="H20" s="1">
        <v>162</v>
      </c>
      <c r="I20" s="6">
        <f t="shared" si="1"/>
        <v>0.11579699785561115</v>
      </c>
      <c r="J20" s="1">
        <v>1300</v>
      </c>
      <c r="K20" s="1">
        <v>15</v>
      </c>
      <c r="L20" s="1"/>
      <c r="M20" s="1">
        <v>4</v>
      </c>
      <c r="N20" s="1"/>
      <c r="O20" s="1">
        <v>128</v>
      </c>
      <c r="P20" s="1"/>
      <c r="Q20" s="1">
        <v>15</v>
      </c>
      <c r="R20" s="1">
        <f t="shared" si="0"/>
        <v>147</v>
      </c>
      <c r="S20" s="9" t="s">
        <v>14</v>
      </c>
      <c r="T20" s="10">
        <v>0.87916666666666676</v>
      </c>
      <c r="U20" s="2">
        <v>1022</v>
      </c>
    </row>
    <row r="21" spans="1:21" x14ac:dyDescent="0.5">
      <c r="A21" s="1">
        <v>10</v>
      </c>
      <c r="B21" s="1">
        <v>10.220000000000001</v>
      </c>
      <c r="C21" s="1">
        <v>20</v>
      </c>
      <c r="D21" s="1">
        <v>1303</v>
      </c>
      <c r="E21" s="1">
        <v>3</v>
      </c>
      <c r="F21" s="1">
        <v>64</v>
      </c>
      <c r="G21" s="1">
        <v>153</v>
      </c>
      <c r="H21" s="1">
        <v>223</v>
      </c>
      <c r="I21" s="6">
        <f t="shared" si="1"/>
        <v>0.17114351496546432</v>
      </c>
      <c r="J21" s="1">
        <v>1200</v>
      </c>
      <c r="K21" s="1">
        <v>19</v>
      </c>
      <c r="L21" s="1"/>
      <c r="M21" s="1">
        <v>5</v>
      </c>
      <c r="N21" s="1"/>
      <c r="O21" s="1">
        <v>186</v>
      </c>
      <c r="P21" s="1"/>
      <c r="Q21" s="1">
        <v>13</v>
      </c>
      <c r="R21" s="1">
        <f t="shared" si="0"/>
        <v>210</v>
      </c>
      <c r="S21" s="9" t="s">
        <v>14</v>
      </c>
      <c r="T21" s="10">
        <v>0.88750000000000007</v>
      </c>
      <c r="U21" s="2">
        <v>1022</v>
      </c>
    </row>
    <row r="22" spans="1:21" x14ac:dyDescent="0.5">
      <c r="A22" s="5">
        <v>10</v>
      </c>
      <c r="B22" s="5">
        <v>10.220000000000001</v>
      </c>
      <c r="C22" s="1">
        <v>21</v>
      </c>
      <c r="D22" s="1">
        <v>1286</v>
      </c>
      <c r="E22" s="1">
        <v>4</v>
      </c>
      <c r="F22" s="1">
        <v>57</v>
      </c>
      <c r="G22" s="1">
        <v>147</v>
      </c>
      <c r="H22" s="1">
        <v>199</v>
      </c>
      <c r="I22" s="6">
        <f t="shared" si="1"/>
        <v>0.1547433903576983</v>
      </c>
      <c r="J22" s="1">
        <v>1200</v>
      </c>
      <c r="K22" s="1">
        <v>32</v>
      </c>
      <c r="L22" s="1"/>
      <c r="M22" s="1">
        <v>19</v>
      </c>
      <c r="N22" s="1"/>
      <c r="O22" s="1">
        <v>120</v>
      </c>
      <c r="P22" s="1"/>
      <c r="Q22" s="1">
        <v>27</v>
      </c>
      <c r="R22" s="1">
        <f t="shared" si="0"/>
        <v>171</v>
      </c>
      <c r="S22" s="9" t="s">
        <v>14</v>
      </c>
      <c r="T22" s="10">
        <v>0.9375</v>
      </c>
      <c r="U22" s="2">
        <v>1022</v>
      </c>
    </row>
    <row r="23" spans="1:21" x14ac:dyDescent="0.5">
      <c r="A23" s="1">
        <v>10</v>
      </c>
      <c r="B23" s="1">
        <v>10.220000000000001</v>
      </c>
      <c r="C23" s="1">
        <v>22</v>
      </c>
      <c r="D23" s="1">
        <v>1200</v>
      </c>
      <c r="E23" s="1">
        <v>2</v>
      </c>
      <c r="F23" s="1">
        <v>78</v>
      </c>
      <c r="G23" s="1">
        <v>179</v>
      </c>
      <c r="H23" s="1">
        <v>218</v>
      </c>
      <c r="I23" s="6">
        <f t="shared" si="1"/>
        <v>0.18166666666666667</v>
      </c>
      <c r="J23" s="1">
        <v>1100</v>
      </c>
      <c r="K23" s="1">
        <v>18</v>
      </c>
      <c r="L23" s="1"/>
      <c r="M23" s="1">
        <v>11</v>
      </c>
      <c r="N23" s="1"/>
      <c r="O23" s="1">
        <v>161</v>
      </c>
      <c r="P23" s="1"/>
      <c r="Q23" s="1">
        <v>28</v>
      </c>
      <c r="R23" s="1">
        <f t="shared" si="0"/>
        <v>190</v>
      </c>
      <c r="S23" s="9" t="s">
        <v>14</v>
      </c>
      <c r="T23" s="10">
        <v>0.90138888888888891</v>
      </c>
      <c r="U23" s="2">
        <v>1022</v>
      </c>
    </row>
    <row r="24" spans="1:21" x14ac:dyDescent="0.5">
      <c r="A24" s="5">
        <v>10</v>
      </c>
      <c r="B24" s="5">
        <v>10.220000000000001</v>
      </c>
      <c r="C24" s="1">
        <v>23</v>
      </c>
      <c r="D24" s="1">
        <v>1574</v>
      </c>
      <c r="E24" s="1">
        <v>2</v>
      </c>
      <c r="F24" s="1">
        <v>63</v>
      </c>
      <c r="G24" s="1">
        <v>132</v>
      </c>
      <c r="H24" s="1">
        <v>177</v>
      </c>
      <c r="I24" s="6">
        <f t="shared" si="1"/>
        <v>0.11245235069885642</v>
      </c>
      <c r="J24" s="1">
        <v>1500</v>
      </c>
      <c r="K24" s="1">
        <v>42</v>
      </c>
      <c r="L24" s="1"/>
      <c r="M24" s="1">
        <v>6</v>
      </c>
      <c r="N24" s="1"/>
      <c r="O24" s="1">
        <v>116</v>
      </c>
      <c r="P24" s="1"/>
      <c r="Q24" s="1">
        <v>13</v>
      </c>
      <c r="R24" s="1">
        <f t="shared" si="0"/>
        <v>164</v>
      </c>
      <c r="S24" s="9" t="s">
        <v>14</v>
      </c>
      <c r="T24" s="10">
        <v>0.88888888888888884</v>
      </c>
      <c r="U24" s="2">
        <v>1022</v>
      </c>
    </row>
    <row r="25" spans="1:21" x14ac:dyDescent="0.5">
      <c r="A25" s="1">
        <v>10</v>
      </c>
      <c r="B25" s="1">
        <v>10.220000000000001</v>
      </c>
      <c r="C25" s="1">
        <v>107</v>
      </c>
      <c r="D25" s="1">
        <v>646</v>
      </c>
      <c r="E25" s="1">
        <v>6</v>
      </c>
      <c r="F25" s="1">
        <v>38</v>
      </c>
      <c r="G25" s="1">
        <v>80</v>
      </c>
      <c r="H25" s="1">
        <v>89</v>
      </c>
      <c r="I25" s="6">
        <f t="shared" si="1"/>
        <v>0.13777089783281735</v>
      </c>
      <c r="J25" s="1">
        <v>600</v>
      </c>
      <c r="K25" s="1">
        <v>20</v>
      </c>
      <c r="L25" s="1"/>
      <c r="M25" s="1">
        <v>6</v>
      </c>
      <c r="N25" s="1"/>
      <c r="O25" s="1">
        <v>54</v>
      </c>
      <c r="P25" s="1"/>
      <c r="Q25" s="1">
        <v>9</v>
      </c>
      <c r="R25" s="1">
        <f t="shared" si="0"/>
        <v>80</v>
      </c>
      <c r="S25" s="9" t="s">
        <v>14</v>
      </c>
      <c r="T25" s="10">
        <v>0.86458333333333337</v>
      </c>
      <c r="U25" s="2">
        <v>1022</v>
      </c>
    </row>
    <row r="26" spans="1:21" x14ac:dyDescent="0.5">
      <c r="A26" s="5">
        <v>10</v>
      </c>
      <c r="B26" s="5">
        <v>10.220000000000001</v>
      </c>
      <c r="C26" s="1">
        <v>108</v>
      </c>
      <c r="D26" s="1">
        <v>1399</v>
      </c>
      <c r="E26" s="1">
        <v>4</v>
      </c>
      <c r="F26" s="1">
        <v>37</v>
      </c>
      <c r="G26" s="1">
        <v>109</v>
      </c>
      <c r="H26" s="1">
        <v>129</v>
      </c>
      <c r="I26" s="6">
        <f t="shared" si="1"/>
        <v>9.2208720514653328E-2</v>
      </c>
      <c r="J26" s="1">
        <v>1300</v>
      </c>
      <c r="K26" s="1">
        <v>10</v>
      </c>
      <c r="L26" s="1"/>
      <c r="M26" s="1">
        <v>3</v>
      </c>
      <c r="N26" s="1"/>
      <c r="O26" s="1">
        <v>105</v>
      </c>
      <c r="P26" s="1"/>
      <c r="Q26" s="1">
        <v>10</v>
      </c>
      <c r="R26" s="1">
        <f t="shared" si="0"/>
        <v>118</v>
      </c>
      <c r="S26" s="9" t="s">
        <v>14</v>
      </c>
      <c r="T26" s="10">
        <v>0.87847222222222221</v>
      </c>
      <c r="U26" s="2">
        <v>1022</v>
      </c>
    </row>
    <row r="27" spans="1:21" x14ac:dyDescent="0.5">
      <c r="A27" s="1">
        <v>10</v>
      </c>
      <c r="B27" s="1">
        <v>10.220000000000001</v>
      </c>
      <c r="C27" s="1">
        <v>109</v>
      </c>
      <c r="D27" s="1">
        <v>801</v>
      </c>
      <c r="E27" s="1">
        <v>3</v>
      </c>
      <c r="F27" s="1">
        <v>88</v>
      </c>
      <c r="G27" s="1">
        <v>176</v>
      </c>
      <c r="H27" s="1">
        <v>208</v>
      </c>
      <c r="I27" s="6">
        <f t="shared" si="1"/>
        <v>0.2596754057428215</v>
      </c>
      <c r="J27" s="1">
        <v>750</v>
      </c>
      <c r="K27" s="1">
        <v>9</v>
      </c>
      <c r="L27" s="1"/>
      <c r="M27" s="1">
        <v>5</v>
      </c>
      <c r="N27" s="1"/>
      <c r="O27" s="1">
        <v>176</v>
      </c>
      <c r="P27" s="1"/>
      <c r="Q27" s="1">
        <v>18</v>
      </c>
      <c r="R27" s="1">
        <f t="shared" si="0"/>
        <v>190</v>
      </c>
      <c r="S27" s="9" t="s">
        <v>14</v>
      </c>
      <c r="T27" s="10">
        <v>0.91875000000000007</v>
      </c>
      <c r="U27" s="2">
        <v>1022</v>
      </c>
    </row>
    <row r="28" spans="1:21" s="3" customFormat="1" x14ac:dyDescent="0.5">
      <c r="A28" s="7">
        <v>10</v>
      </c>
      <c r="B28" s="7">
        <v>10.220000000000001</v>
      </c>
      <c r="C28" s="7" t="s">
        <v>0</v>
      </c>
      <c r="D28" s="7">
        <v>34113</v>
      </c>
      <c r="E28" s="7">
        <v>95</v>
      </c>
      <c r="F28" s="7">
        <v>1625</v>
      </c>
      <c r="G28" s="7">
        <v>3834</v>
      </c>
      <c r="H28" s="7">
        <f>SUM(H2:H27)</f>
        <v>5023</v>
      </c>
      <c r="I28" s="8">
        <f>H28/D28</f>
        <v>0.14724591797848327</v>
      </c>
      <c r="J28" s="7">
        <v>31150</v>
      </c>
      <c r="K28" s="7">
        <v>624</v>
      </c>
      <c r="L28" s="7"/>
      <c r="M28" s="7">
        <v>247</v>
      </c>
      <c r="N28" s="7"/>
      <c r="O28" s="7">
        <v>3639</v>
      </c>
      <c r="P28" s="7"/>
      <c r="Q28" s="7">
        <v>511</v>
      </c>
      <c r="R28" s="7">
        <f t="shared" si="0"/>
        <v>4510</v>
      </c>
      <c r="S28" s="11"/>
      <c r="T28" s="12"/>
      <c r="U28" s="2">
        <v>1022</v>
      </c>
    </row>
    <row r="29" spans="1:21" x14ac:dyDescent="0.5">
      <c r="A29" s="1">
        <v>21</v>
      </c>
      <c r="B29" s="1">
        <v>21.08</v>
      </c>
      <c r="C29" s="1">
        <v>25</v>
      </c>
      <c r="D29" s="1">
        <v>1220</v>
      </c>
      <c r="E29" s="1">
        <v>4</v>
      </c>
      <c r="F29" s="1">
        <v>165</v>
      </c>
      <c r="G29" s="1">
        <v>312</v>
      </c>
      <c r="H29" s="1">
        <v>438</v>
      </c>
      <c r="I29" s="6">
        <f t="shared" si="1"/>
        <v>0.35901639344262293</v>
      </c>
      <c r="J29" s="1">
        <v>950</v>
      </c>
      <c r="K29" s="1">
        <v>2</v>
      </c>
      <c r="L29" s="1"/>
      <c r="M29" s="1">
        <v>138</v>
      </c>
      <c r="N29" s="1"/>
      <c r="O29" s="1">
        <v>165</v>
      </c>
      <c r="P29" s="1">
        <v>115</v>
      </c>
      <c r="Q29" s="1">
        <v>18</v>
      </c>
      <c r="R29" s="1">
        <f t="shared" si="0"/>
        <v>420</v>
      </c>
      <c r="S29" s="9" t="s">
        <v>14</v>
      </c>
      <c r="T29" s="10">
        <v>0.92847222222222225</v>
      </c>
      <c r="U29" s="2">
        <v>2108</v>
      </c>
    </row>
    <row r="30" spans="1:21" x14ac:dyDescent="0.5">
      <c r="A30" s="1">
        <v>21</v>
      </c>
      <c r="B30" s="1">
        <v>21.08</v>
      </c>
      <c r="C30" s="1">
        <v>26</v>
      </c>
      <c r="D30" s="1">
        <v>1388</v>
      </c>
      <c r="E30" s="1">
        <v>0</v>
      </c>
      <c r="F30" s="1">
        <v>208</v>
      </c>
      <c r="G30" s="1">
        <v>366</v>
      </c>
      <c r="H30" s="1">
        <v>430</v>
      </c>
      <c r="I30" s="6">
        <f t="shared" si="1"/>
        <v>0.30979827089337175</v>
      </c>
      <c r="J30" s="1">
        <v>1000</v>
      </c>
      <c r="K30" s="1">
        <v>1</v>
      </c>
      <c r="L30" s="1"/>
      <c r="M30" s="1">
        <v>34</v>
      </c>
      <c r="N30" s="1"/>
      <c r="O30" s="1">
        <v>380</v>
      </c>
      <c r="P30" s="1">
        <v>8</v>
      </c>
      <c r="Q30" s="1">
        <v>7</v>
      </c>
      <c r="R30" s="1">
        <f t="shared" si="0"/>
        <v>423</v>
      </c>
      <c r="S30" s="9" t="s">
        <v>14</v>
      </c>
      <c r="T30" s="10">
        <v>0.92708333333333337</v>
      </c>
      <c r="U30" s="2">
        <v>2108</v>
      </c>
    </row>
    <row r="31" spans="1:21" x14ac:dyDescent="0.5">
      <c r="A31" s="1">
        <v>21</v>
      </c>
      <c r="B31" s="1">
        <v>21.08</v>
      </c>
      <c r="C31" s="1">
        <v>27</v>
      </c>
      <c r="D31" s="1">
        <v>1152</v>
      </c>
      <c r="E31" s="1">
        <v>3</v>
      </c>
      <c r="F31" s="1">
        <v>149</v>
      </c>
      <c r="G31" s="1">
        <v>260</v>
      </c>
      <c r="H31" s="1">
        <v>339</v>
      </c>
      <c r="I31" s="6">
        <f t="shared" si="1"/>
        <v>0.29427083333333331</v>
      </c>
      <c r="J31" s="1">
        <v>900</v>
      </c>
      <c r="K31" s="1">
        <v>3</v>
      </c>
      <c r="L31" s="1"/>
      <c r="M31" s="1">
        <v>66</v>
      </c>
      <c r="N31" s="1"/>
      <c r="O31" s="1">
        <v>250</v>
      </c>
      <c r="P31" s="1">
        <v>9</v>
      </c>
      <c r="Q31" s="1">
        <v>11</v>
      </c>
      <c r="R31" s="1">
        <f t="shared" si="0"/>
        <v>328</v>
      </c>
      <c r="S31" s="9" t="s">
        <v>14</v>
      </c>
      <c r="T31" s="10">
        <v>0.90208333333333324</v>
      </c>
      <c r="U31" s="2">
        <v>2108</v>
      </c>
    </row>
    <row r="32" spans="1:21" x14ac:dyDescent="0.5">
      <c r="A32" s="7">
        <v>21</v>
      </c>
      <c r="B32" s="7">
        <v>21.08</v>
      </c>
      <c r="C32" s="7" t="s">
        <v>0</v>
      </c>
      <c r="D32" s="7">
        <f>SUM(D29:D31)</f>
        <v>3760</v>
      </c>
      <c r="E32" s="7">
        <f t="shared" ref="E32:R32" si="2">SUM(E29:E31)</f>
        <v>7</v>
      </c>
      <c r="F32" s="7">
        <f t="shared" si="2"/>
        <v>522</v>
      </c>
      <c r="G32" s="7">
        <f t="shared" si="2"/>
        <v>938</v>
      </c>
      <c r="H32" s="7">
        <f t="shared" si="2"/>
        <v>1207</v>
      </c>
      <c r="I32" s="8">
        <f t="shared" si="1"/>
        <v>0.32101063829787235</v>
      </c>
      <c r="J32" s="7">
        <f t="shared" si="2"/>
        <v>2850</v>
      </c>
      <c r="K32" s="7">
        <f t="shared" si="2"/>
        <v>6</v>
      </c>
      <c r="L32" s="7"/>
      <c r="M32" s="7">
        <f t="shared" si="2"/>
        <v>238</v>
      </c>
      <c r="N32" s="7"/>
      <c r="O32" s="7">
        <f t="shared" si="2"/>
        <v>795</v>
      </c>
      <c r="P32" s="7">
        <f t="shared" si="2"/>
        <v>132</v>
      </c>
      <c r="Q32" s="7">
        <f t="shared" si="2"/>
        <v>36</v>
      </c>
      <c r="R32" s="7">
        <f t="shared" si="2"/>
        <v>1171</v>
      </c>
      <c r="S32" s="9"/>
      <c r="T32" s="10"/>
      <c r="U32" s="2">
        <v>2108</v>
      </c>
    </row>
    <row r="33" spans="1:21" x14ac:dyDescent="0.5">
      <c r="A33" s="1">
        <v>21</v>
      </c>
      <c r="B33" s="1">
        <v>21.18</v>
      </c>
      <c r="C33" s="1">
        <v>58</v>
      </c>
      <c r="D33" s="1">
        <v>1601</v>
      </c>
      <c r="E33" s="1">
        <v>2</v>
      </c>
      <c r="F33" s="1">
        <v>180</v>
      </c>
      <c r="G33" s="1">
        <v>407</v>
      </c>
      <c r="H33" s="1">
        <v>486</v>
      </c>
      <c r="I33" s="6">
        <f t="shared" si="1"/>
        <v>0.30356027482823233</v>
      </c>
      <c r="J33" s="1">
        <v>1400</v>
      </c>
      <c r="K33" s="1">
        <v>6</v>
      </c>
      <c r="L33" s="1"/>
      <c r="M33" s="1"/>
      <c r="N33" s="1"/>
      <c r="O33" s="1">
        <v>448</v>
      </c>
      <c r="P33" s="1"/>
      <c r="Q33" s="1">
        <v>30</v>
      </c>
      <c r="R33" s="1">
        <f t="shared" ref="R33:R46" si="3">SUM(K33,L33,M33,N33,O33,P33)</f>
        <v>454</v>
      </c>
      <c r="S33" s="9" t="s">
        <v>14</v>
      </c>
      <c r="T33" s="10">
        <v>0.8965277777777777</v>
      </c>
      <c r="U33" s="2">
        <v>2118</v>
      </c>
    </row>
    <row r="34" spans="1:21" x14ac:dyDescent="0.5">
      <c r="A34" s="1">
        <v>21</v>
      </c>
      <c r="B34" s="1">
        <v>21.18</v>
      </c>
      <c r="C34" s="1">
        <v>59</v>
      </c>
      <c r="D34" s="1">
        <v>1763</v>
      </c>
      <c r="E34" s="1">
        <v>7</v>
      </c>
      <c r="F34" s="1">
        <v>282</v>
      </c>
      <c r="G34" s="1">
        <v>528</v>
      </c>
      <c r="H34" s="1">
        <v>692</v>
      </c>
      <c r="I34" s="6">
        <f t="shared" si="1"/>
        <v>0.39251276233692567</v>
      </c>
      <c r="J34" s="1">
        <v>1500</v>
      </c>
      <c r="K34" s="1">
        <v>11</v>
      </c>
      <c r="L34" s="1"/>
      <c r="M34" s="1"/>
      <c r="N34" s="1"/>
      <c r="O34" s="1">
        <v>671</v>
      </c>
      <c r="P34" s="1"/>
      <c r="Q34" s="1">
        <v>10</v>
      </c>
      <c r="R34" s="1">
        <f t="shared" si="3"/>
        <v>682</v>
      </c>
      <c r="S34" s="9" t="s">
        <v>14</v>
      </c>
      <c r="T34" s="10">
        <v>0.90625</v>
      </c>
      <c r="U34" s="2">
        <v>2118</v>
      </c>
    </row>
    <row r="35" spans="1:21" s="3" customFormat="1" x14ac:dyDescent="0.5">
      <c r="A35" s="7">
        <v>21</v>
      </c>
      <c r="B35" s="7">
        <v>21.18</v>
      </c>
      <c r="C35" s="7" t="s">
        <v>0</v>
      </c>
      <c r="D35" s="7">
        <f>SUM(D33:D34)</f>
        <v>3364</v>
      </c>
      <c r="E35" s="7">
        <f t="shared" ref="E35:J35" si="4">SUM(E33:E34)</f>
        <v>9</v>
      </c>
      <c r="F35" s="7">
        <f t="shared" si="4"/>
        <v>462</v>
      </c>
      <c r="G35" s="7">
        <f t="shared" si="4"/>
        <v>935</v>
      </c>
      <c r="H35" s="7">
        <f t="shared" si="4"/>
        <v>1178</v>
      </c>
      <c r="I35" s="8">
        <f t="shared" si="1"/>
        <v>0.3501783590963139</v>
      </c>
      <c r="J35" s="7">
        <f t="shared" si="4"/>
        <v>2900</v>
      </c>
      <c r="K35" s="7">
        <f>SUM(K33:K34)</f>
        <v>17</v>
      </c>
      <c r="L35" s="7"/>
      <c r="M35" s="7"/>
      <c r="N35" s="7"/>
      <c r="O35" s="7">
        <f>SUM(O33:O34)</f>
        <v>1119</v>
      </c>
      <c r="P35" s="7"/>
      <c r="Q35" s="7">
        <f>SUM(Q33:Q34)</f>
        <v>40</v>
      </c>
      <c r="R35" s="7">
        <f t="shared" si="3"/>
        <v>1136</v>
      </c>
      <c r="S35" s="11"/>
      <c r="T35" s="12"/>
      <c r="U35" s="2">
        <v>2118</v>
      </c>
    </row>
    <row r="36" spans="1:21" x14ac:dyDescent="0.5">
      <c r="A36" s="1">
        <v>30</v>
      </c>
      <c r="B36" s="1">
        <v>30.12</v>
      </c>
      <c r="C36" s="1">
        <v>22</v>
      </c>
      <c r="D36" s="1">
        <v>1263</v>
      </c>
      <c r="E36" s="1">
        <v>0</v>
      </c>
      <c r="F36" s="1">
        <v>257</v>
      </c>
      <c r="G36" s="1">
        <v>528</v>
      </c>
      <c r="H36" s="1">
        <v>592</v>
      </c>
      <c r="I36" s="6">
        <f t="shared" si="1"/>
        <v>0.46872525732383213</v>
      </c>
      <c r="J36" s="1">
        <v>1200</v>
      </c>
      <c r="K36" s="1"/>
      <c r="L36" s="1">
        <v>134</v>
      </c>
      <c r="M36" s="1">
        <v>42</v>
      </c>
      <c r="N36" s="1"/>
      <c r="O36" s="1">
        <v>409</v>
      </c>
      <c r="P36" s="1"/>
      <c r="Q36" s="1">
        <v>9</v>
      </c>
      <c r="R36" s="1">
        <f t="shared" si="3"/>
        <v>585</v>
      </c>
      <c r="S36" s="9" t="s">
        <v>14</v>
      </c>
      <c r="T36" s="10">
        <v>0.9902777777777777</v>
      </c>
      <c r="U36" s="2">
        <v>3012</v>
      </c>
    </row>
    <row r="37" spans="1:21" x14ac:dyDescent="0.5">
      <c r="A37" s="1">
        <v>30</v>
      </c>
      <c r="B37" s="1">
        <v>30.12</v>
      </c>
      <c r="C37" s="1">
        <v>23</v>
      </c>
      <c r="D37" s="1">
        <v>539</v>
      </c>
      <c r="E37" s="1">
        <v>3</v>
      </c>
      <c r="F37" s="1">
        <v>93</v>
      </c>
      <c r="G37" s="1">
        <v>210</v>
      </c>
      <c r="H37" s="1">
        <v>272</v>
      </c>
      <c r="I37" s="6">
        <f t="shared" si="1"/>
        <v>0.50463821892393323</v>
      </c>
      <c r="J37" s="1">
        <v>500</v>
      </c>
      <c r="K37" s="1"/>
      <c r="L37" s="1">
        <v>94</v>
      </c>
      <c r="M37" s="1">
        <v>31</v>
      </c>
      <c r="N37" s="1"/>
      <c r="O37" s="1">
        <v>141</v>
      </c>
      <c r="P37" s="1"/>
      <c r="Q37" s="1">
        <v>6</v>
      </c>
      <c r="R37" s="1">
        <f t="shared" si="3"/>
        <v>266</v>
      </c>
      <c r="S37" s="9" t="s">
        <v>14</v>
      </c>
      <c r="T37" s="10">
        <v>0.92499999999999993</v>
      </c>
      <c r="U37" s="2">
        <v>3012</v>
      </c>
    </row>
    <row r="38" spans="1:21" x14ac:dyDescent="0.5">
      <c r="A38" s="1">
        <v>30</v>
      </c>
      <c r="B38" s="1">
        <v>30.12</v>
      </c>
      <c r="C38" s="1">
        <v>37</v>
      </c>
      <c r="D38" s="1">
        <v>879</v>
      </c>
      <c r="E38" s="1">
        <v>5</v>
      </c>
      <c r="F38" s="1">
        <v>195</v>
      </c>
      <c r="G38" s="1">
        <v>342</v>
      </c>
      <c r="H38" s="1">
        <v>423</v>
      </c>
      <c r="I38" s="6">
        <f t="shared" si="1"/>
        <v>0.48122866894197952</v>
      </c>
      <c r="J38" s="1">
        <v>850</v>
      </c>
      <c r="K38" s="1"/>
      <c r="L38" s="1">
        <v>112</v>
      </c>
      <c r="M38" s="1">
        <v>22</v>
      </c>
      <c r="N38" s="1"/>
      <c r="O38" s="1">
        <v>276</v>
      </c>
      <c r="P38" s="1"/>
      <c r="Q38" s="1">
        <v>7</v>
      </c>
      <c r="R38" s="1">
        <f t="shared" si="3"/>
        <v>410</v>
      </c>
      <c r="S38" s="9" t="s">
        <v>14</v>
      </c>
      <c r="T38" s="10">
        <v>0.92986111111111114</v>
      </c>
      <c r="U38" s="2">
        <v>3012</v>
      </c>
    </row>
    <row r="39" spans="1:21" s="3" customFormat="1" x14ac:dyDescent="0.5">
      <c r="A39" s="7">
        <v>30</v>
      </c>
      <c r="B39" s="7">
        <v>30.12</v>
      </c>
      <c r="C39" s="7" t="s">
        <v>0</v>
      </c>
      <c r="D39" s="7">
        <v>2681</v>
      </c>
      <c r="E39" s="7">
        <v>8</v>
      </c>
      <c r="F39" s="7">
        <v>545</v>
      </c>
      <c r="G39" s="7">
        <v>1080</v>
      </c>
      <c r="H39" s="7">
        <f>SUM(H36:H38)</f>
        <v>1287</v>
      </c>
      <c r="I39" s="8">
        <f t="shared" si="1"/>
        <v>0.48004475941812758</v>
      </c>
      <c r="J39" s="7">
        <v>2550</v>
      </c>
      <c r="K39" s="7"/>
      <c r="L39" s="7">
        <v>340</v>
      </c>
      <c r="M39" s="7">
        <v>95</v>
      </c>
      <c r="N39" s="7"/>
      <c r="O39" s="7">
        <f>SUM(O36:O38)</f>
        <v>826</v>
      </c>
      <c r="P39" s="7"/>
      <c r="Q39" s="7">
        <f>SUM(Q36:Q38)</f>
        <v>22</v>
      </c>
      <c r="R39" s="7">
        <f t="shared" si="3"/>
        <v>1261</v>
      </c>
      <c r="S39" s="11"/>
      <c r="T39" s="12"/>
      <c r="U39" s="2">
        <v>3012</v>
      </c>
    </row>
    <row r="40" spans="1:21" x14ac:dyDescent="0.5">
      <c r="A40" s="1">
        <v>58</v>
      </c>
      <c r="B40" s="1">
        <v>58.17</v>
      </c>
      <c r="C40" s="1">
        <v>49</v>
      </c>
      <c r="D40" s="1">
        <v>1168</v>
      </c>
      <c r="E40" s="1">
        <v>0</v>
      </c>
      <c r="F40" s="1">
        <v>294</v>
      </c>
      <c r="G40" s="1">
        <v>518</v>
      </c>
      <c r="H40" s="1">
        <v>632</v>
      </c>
      <c r="I40" s="6">
        <f t="shared" si="1"/>
        <v>0.54109589041095896</v>
      </c>
      <c r="J40" s="1">
        <v>1050</v>
      </c>
      <c r="K40" s="1"/>
      <c r="L40" s="1">
        <v>192</v>
      </c>
      <c r="M40" s="1"/>
      <c r="N40" s="1">
        <v>35</v>
      </c>
      <c r="O40" s="1">
        <v>395</v>
      </c>
      <c r="P40" s="1"/>
      <c r="Q40" s="1">
        <v>10</v>
      </c>
      <c r="R40" s="1">
        <f t="shared" si="3"/>
        <v>622</v>
      </c>
      <c r="S40" s="9" t="s">
        <v>14</v>
      </c>
      <c r="T40" s="10">
        <v>0.97222222222222221</v>
      </c>
      <c r="U40" s="2">
        <v>5817</v>
      </c>
    </row>
    <row r="41" spans="1:21" x14ac:dyDescent="0.5">
      <c r="A41" s="1">
        <v>58</v>
      </c>
      <c r="B41" s="1">
        <v>58.17</v>
      </c>
      <c r="C41" s="1">
        <v>50</v>
      </c>
      <c r="D41" s="1">
        <v>1017</v>
      </c>
      <c r="E41" s="1">
        <v>5</v>
      </c>
      <c r="F41" s="1">
        <v>284</v>
      </c>
      <c r="G41" s="1">
        <v>500</v>
      </c>
      <c r="H41" s="1">
        <v>550</v>
      </c>
      <c r="I41" s="6">
        <f t="shared" si="1"/>
        <v>0.54080629301868244</v>
      </c>
      <c r="J41" s="1">
        <v>900</v>
      </c>
      <c r="K41" s="1"/>
      <c r="L41" s="1">
        <v>226</v>
      </c>
      <c r="M41" s="1"/>
      <c r="N41" s="1">
        <v>33</v>
      </c>
      <c r="O41" s="1">
        <v>285</v>
      </c>
      <c r="P41" s="1"/>
      <c r="Q41" s="1">
        <v>6</v>
      </c>
      <c r="R41" s="1">
        <f t="shared" si="3"/>
        <v>544</v>
      </c>
      <c r="S41" s="9" t="s">
        <v>14</v>
      </c>
      <c r="T41" s="10">
        <v>0.96111111111111114</v>
      </c>
      <c r="U41" s="2">
        <v>5817</v>
      </c>
    </row>
    <row r="42" spans="1:21" x14ac:dyDescent="0.5">
      <c r="A42" s="1">
        <v>58</v>
      </c>
      <c r="B42" s="1">
        <v>58.17</v>
      </c>
      <c r="C42" s="1">
        <v>51</v>
      </c>
      <c r="D42" s="1">
        <v>799</v>
      </c>
      <c r="E42" s="1">
        <v>1</v>
      </c>
      <c r="F42" s="1">
        <v>274</v>
      </c>
      <c r="G42" s="1">
        <v>412</v>
      </c>
      <c r="H42" s="1">
        <v>466</v>
      </c>
      <c r="I42" s="6">
        <f t="shared" si="1"/>
        <v>0.58322903629536926</v>
      </c>
      <c r="J42" s="1">
        <v>700</v>
      </c>
      <c r="K42" s="1"/>
      <c r="L42" s="1">
        <v>121</v>
      </c>
      <c r="M42" s="1"/>
      <c r="N42" s="1">
        <v>10</v>
      </c>
      <c r="O42" s="1">
        <v>322</v>
      </c>
      <c r="P42" s="1"/>
      <c r="Q42" s="1">
        <v>13</v>
      </c>
      <c r="R42" s="1">
        <f t="shared" si="3"/>
        <v>453</v>
      </c>
      <c r="S42" s="9" t="s">
        <v>14</v>
      </c>
      <c r="T42" s="10">
        <v>0.9375</v>
      </c>
      <c r="U42" s="2">
        <v>5817</v>
      </c>
    </row>
    <row r="43" spans="1:21" x14ac:dyDescent="0.5">
      <c r="A43" s="1">
        <v>58</v>
      </c>
      <c r="B43" s="1">
        <v>58.17</v>
      </c>
      <c r="C43" s="1">
        <v>52</v>
      </c>
      <c r="D43" s="1">
        <v>497</v>
      </c>
      <c r="E43" s="1">
        <v>1</v>
      </c>
      <c r="F43" s="1">
        <v>199</v>
      </c>
      <c r="G43" s="1">
        <v>293</v>
      </c>
      <c r="H43" s="1">
        <v>322</v>
      </c>
      <c r="I43" s="6">
        <f t="shared" si="1"/>
        <v>0.647887323943662</v>
      </c>
      <c r="J43" s="1">
        <v>450</v>
      </c>
      <c r="K43" s="1"/>
      <c r="L43" s="1">
        <v>59</v>
      </c>
      <c r="M43" s="1"/>
      <c r="N43" s="1">
        <v>15</v>
      </c>
      <c r="O43" s="1">
        <v>243</v>
      </c>
      <c r="P43" s="1"/>
      <c r="Q43" s="1">
        <v>5</v>
      </c>
      <c r="R43" s="1">
        <f t="shared" si="3"/>
        <v>317</v>
      </c>
      <c r="S43" s="9" t="s">
        <v>14</v>
      </c>
      <c r="T43" s="10">
        <v>0.95486111111111116</v>
      </c>
      <c r="U43" s="2">
        <v>5817</v>
      </c>
    </row>
    <row r="44" spans="1:21" s="3" customFormat="1" x14ac:dyDescent="0.5">
      <c r="A44" s="7">
        <v>58</v>
      </c>
      <c r="B44" s="7">
        <v>58.17</v>
      </c>
      <c r="C44" s="7" t="s">
        <v>0</v>
      </c>
      <c r="D44" s="7">
        <v>3481</v>
      </c>
      <c r="E44" s="7">
        <v>7</v>
      </c>
      <c r="F44" s="7">
        <v>1051</v>
      </c>
      <c r="G44" s="7">
        <v>1723</v>
      </c>
      <c r="H44" s="7">
        <f>SUM(H40:H43)</f>
        <v>1970</v>
      </c>
      <c r="I44" s="8">
        <f t="shared" si="1"/>
        <v>0.56592933065211148</v>
      </c>
      <c r="J44" s="7">
        <v>3100</v>
      </c>
      <c r="K44" s="7"/>
      <c r="L44" s="7">
        <v>598</v>
      </c>
      <c r="M44" s="7"/>
      <c r="N44" s="7">
        <v>93</v>
      </c>
      <c r="O44" s="7">
        <v>1245</v>
      </c>
      <c r="P44" s="7"/>
      <c r="Q44" s="7">
        <v>34</v>
      </c>
      <c r="R44" s="7">
        <f t="shared" si="3"/>
        <v>1936</v>
      </c>
      <c r="S44" s="11"/>
      <c r="T44" s="12"/>
      <c r="U44" s="2">
        <v>5817</v>
      </c>
    </row>
    <row r="45" spans="1:21" x14ac:dyDescent="0.5">
      <c r="A45" s="1">
        <v>60</v>
      </c>
      <c r="B45" s="1">
        <v>60.04</v>
      </c>
      <c r="C45" s="1">
        <v>6</v>
      </c>
      <c r="D45" s="1">
        <v>1227</v>
      </c>
      <c r="E45" s="1">
        <v>2</v>
      </c>
      <c r="F45" s="1">
        <v>351</v>
      </c>
      <c r="G45" s="1">
        <v>659</v>
      </c>
      <c r="H45" s="1">
        <v>745</v>
      </c>
      <c r="I45" s="6">
        <f t="shared" si="1"/>
        <v>0.60717196414017927</v>
      </c>
      <c r="J45" s="1">
        <v>1150</v>
      </c>
      <c r="K45" s="1"/>
      <c r="L45" s="1"/>
      <c r="M45" s="1"/>
      <c r="N45" s="1"/>
      <c r="O45" s="1">
        <v>480</v>
      </c>
      <c r="P45" s="1">
        <v>246</v>
      </c>
      <c r="Q45" s="1">
        <v>19</v>
      </c>
      <c r="R45" s="1">
        <f t="shared" si="3"/>
        <v>726</v>
      </c>
      <c r="S45" s="9" t="s">
        <v>14</v>
      </c>
      <c r="T45" s="10">
        <v>0.99652777777777779</v>
      </c>
      <c r="U45" s="2">
        <v>60104</v>
      </c>
    </row>
    <row r="46" spans="1:21" x14ac:dyDescent="0.5">
      <c r="A46" s="1">
        <v>60</v>
      </c>
      <c r="B46" s="1">
        <v>60.04</v>
      </c>
      <c r="C46" s="1">
        <v>7</v>
      </c>
      <c r="D46" s="1">
        <v>1391</v>
      </c>
      <c r="E46" s="1">
        <v>0</v>
      </c>
      <c r="F46" s="1">
        <v>350</v>
      </c>
      <c r="G46" s="1">
        <v>620</v>
      </c>
      <c r="H46" s="1">
        <v>714</v>
      </c>
      <c r="I46" s="6">
        <f t="shared" si="1"/>
        <v>0.51329978432782175</v>
      </c>
      <c r="J46" s="1">
        <v>1250</v>
      </c>
      <c r="K46" s="1"/>
      <c r="L46" s="1"/>
      <c r="M46" s="1"/>
      <c r="N46" s="1"/>
      <c r="O46" s="1">
        <v>438</v>
      </c>
      <c r="P46" s="1">
        <v>258</v>
      </c>
      <c r="Q46" s="1">
        <v>17</v>
      </c>
      <c r="R46" s="1">
        <f t="shared" si="3"/>
        <v>696</v>
      </c>
      <c r="S46" s="11" t="s">
        <v>16</v>
      </c>
      <c r="T46" s="10">
        <v>2.0833333333333333E-3</v>
      </c>
      <c r="U46" s="2">
        <v>60104</v>
      </c>
    </row>
    <row r="47" spans="1:21" x14ac:dyDescent="0.5">
      <c r="A47" s="7">
        <v>60</v>
      </c>
      <c r="B47" s="7">
        <v>60.04</v>
      </c>
      <c r="C47" s="7" t="s">
        <v>0</v>
      </c>
      <c r="D47" s="7">
        <f>SUM(D45:D46)</f>
        <v>2618</v>
      </c>
      <c r="E47" s="7">
        <f t="shared" ref="E47:J47" si="5">SUM(E45:E46)</f>
        <v>2</v>
      </c>
      <c r="F47" s="7">
        <f t="shared" si="5"/>
        <v>701</v>
      </c>
      <c r="G47" s="7">
        <f t="shared" si="5"/>
        <v>1279</v>
      </c>
      <c r="H47" s="7">
        <f t="shared" si="5"/>
        <v>1459</v>
      </c>
      <c r="I47" s="8">
        <f t="shared" si="1"/>
        <v>0.55729564553093969</v>
      </c>
      <c r="J47" s="7">
        <f t="shared" si="5"/>
        <v>2400</v>
      </c>
      <c r="K47" s="7"/>
      <c r="L47" s="7"/>
      <c r="M47" s="7"/>
      <c r="N47" s="7"/>
      <c r="O47" s="7">
        <f>O45+O46</f>
        <v>918</v>
      </c>
      <c r="P47" s="7">
        <f>P45+P46</f>
        <v>504</v>
      </c>
      <c r="Q47" s="7">
        <f>Q45+Q46</f>
        <v>36</v>
      </c>
      <c r="R47" s="7">
        <f>R45+R46</f>
        <v>1422</v>
      </c>
      <c r="S47" s="9"/>
      <c r="T47" s="10"/>
      <c r="U47" s="2">
        <v>60104</v>
      </c>
    </row>
    <row r="48" spans="1:21" x14ac:dyDescent="0.5">
      <c r="A48" s="1">
        <v>60</v>
      </c>
      <c r="B48" s="1">
        <v>60.05</v>
      </c>
      <c r="C48" s="1">
        <v>16</v>
      </c>
      <c r="D48" s="1">
        <v>848</v>
      </c>
      <c r="E48" s="1">
        <v>5</v>
      </c>
      <c r="F48" s="1">
        <v>233</v>
      </c>
      <c r="G48" s="1">
        <v>420</v>
      </c>
      <c r="H48" s="1">
        <v>488</v>
      </c>
      <c r="I48" s="6">
        <f t="shared" si="1"/>
        <v>0.57547169811320753</v>
      </c>
      <c r="J48" s="1">
        <v>800</v>
      </c>
      <c r="K48" s="1"/>
      <c r="L48" s="1">
        <v>290</v>
      </c>
      <c r="M48" s="1"/>
      <c r="N48" s="1"/>
      <c r="O48" s="1">
        <v>188</v>
      </c>
      <c r="P48" s="1"/>
      <c r="Q48" s="1">
        <v>9</v>
      </c>
      <c r="R48" s="1">
        <f>SUM(K48,L48,M48,N48,O48,P48)</f>
        <v>478</v>
      </c>
      <c r="S48" s="9" t="s">
        <v>14</v>
      </c>
      <c r="T48" s="10">
        <v>0.9555555555555556</v>
      </c>
      <c r="U48" s="2">
        <v>6005</v>
      </c>
    </row>
    <row r="49" spans="1:21" x14ac:dyDescent="0.5">
      <c r="A49" s="1">
        <v>60</v>
      </c>
      <c r="B49" s="1">
        <v>60.05</v>
      </c>
      <c r="C49" s="1">
        <v>59</v>
      </c>
      <c r="D49" s="1">
        <v>1225</v>
      </c>
      <c r="E49" s="1">
        <v>1</v>
      </c>
      <c r="F49" s="1">
        <v>355</v>
      </c>
      <c r="G49" s="1">
        <v>645</v>
      </c>
      <c r="H49" s="1">
        <v>726</v>
      </c>
      <c r="I49" s="6">
        <f t="shared" si="1"/>
        <v>0.5926530612244898</v>
      </c>
      <c r="J49" s="1">
        <v>1150</v>
      </c>
      <c r="K49" s="1"/>
      <c r="L49" s="1">
        <v>424</v>
      </c>
      <c r="M49" s="1"/>
      <c r="N49" s="1"/>
      <c r="O49" s="1">
        <v>296</v>
      </c>
      <c r="P49" s="1"/>
      <c r="Q49" s="1">
        <v>6</v>
      </c>
      <c r="R49" s="1">
        <f>SUM(K49,L49,M49,N49,O49,P49)</f>
        <v>720</v>
      </c>
      <c r="S49" s="9" t="s">
        <v>14</v>
      </c>
      <c r="T49" s="10">
        <v>0.9604166666666667</v>
      </c>
      <c r="U49" s="2">
        <v>6005</v>
      </c>
    </row>
    <row r="50" spans="1:21" s="3" customFormat="1" x14ac:dyDescent="0.5">
      <c r="A50" s="7">
        <v>60</v>
      </c>
      <c r="B50" s="7">
        <v>60.05</v>
      </c>
      <c r="C50" s="7" t="s">
        <v>0</v>
      </c>
      <c r="D50" s="7">
        <f>SUM(D48:D49)</f>
        <v>2073</v>
      </c>
      <c r="E50" s="7">
        <f>SUM(E48:E49)</f>
        <v>6</v>
      </c>
      <c r="F50" s="7">
        <f t="shared" ref="F50:H50" si="6">SUM(F48:F49)</f>
        <v>588</v>
      </c>
      <c r="G50" s="7">
        <f t="shared" si="6"/>
        <v>1065</v>
      </c>
      <c r="H50" s="7">
        <f t="shared" si="6"/>
        <v>1214</v>
      </c>
      <c r="I50" s="8">
        <f t="shared" si="1"/>
        <v>0.58562469850458276</v>
      </c>
      <c r="J50" s="7">
        <f t="shared" ref="J50" si="7">J48+J49</f>
        <v>1950</v>
      </c>
      <c r="K50" s="7"/>
      <c r="L50" s="7">
        <f>L48+L49</f>
        <v>714</v>
      </c>
      <c r="M50" s="7"/>
      <c r="N50" s="7"/>
      <c r="O50" s="7">
        <f>O48+O49</f>
        <v>484</v>
      </c>
      <c r="P50" s="7"/>
      <c r="Q50" s="7">
        <f>Q48+Q49</f>
        <v>15</v>
      </c>
      <c r="R50" s="7">
        <f>R48+R49</f>
        <v>1198</v>
      </c>
      <c r="S50" s="11"/>
      <c r="T50" s="12"/>
      <c r="U50" s="2">
        <v>6005</v>
      </c>
    </row>
    <row r="51" spans="1:21" x14ac:dyDescent="0.5">
      <c r="A51" s="1">
        <v>66</v>
      </c>
      <c r="B51" s="1">
        <v>66.17</v>
      </c>
      <c r="C51" s="1">
        <v>22</v>
      </c>
      <c r="D51" s="1">
        <v>244</v>
      </c>
      <c r="E51" s="1">
        <v>0</v>
      </c>
      <c r="F51" s="1">
        <v>54</v>
      </c>
      <c r="G51" s="1">
        <v>109</v>
      </c>
      <c r="H51" s="1">
        <v>122</v>
      </c>
      <c r="I51" s="6">
        <f t="shared" si="1"/>
        <v>0.5</v>
      </c>
      <c r="J51" s="1">
        <v>250</v>
      </c>
      <c r="K51" s="1"/>
      <c r="L51" s="1"/>
      <c r="M51" s="1"/>
      <c r="N51" s="1"/>
      <c r="O51" s="1">
        <v>119</v>
      </c>
      <c r="P51" s="1"/>
      <c r="Q51" s="1">
        <v>3</v>
      </c>
      <c r="R51" s="1">
        <f>SUM(K51,L51,M51,N51,O51,P51)</f>
        <v>119</v>
      </c>
      <c r="S51" s="9" t="s">
        <v>14</v>
      </c>
      <c r="T51" s="10">
        <v>0.86111111111111116</v>
      </c>
      <c r="U51" s="2">
        <v>6617</v>
      </c>
    </row>
    <row r="52" spans="1:21" s="3" customFormat="1" x14ac:dyDescent="0.5">
      <c r="A52" s="7">
        <v>66</v>
      </c>
      <c r="B52" s="7">
        <v>66.17</v>
      </c>
      <c r="C52" s="7" t="s">
        <v>0</v>
      </c>
      <c r="D52" s="7">
        <v>244</v>
      </c>
      <c r="E52" s="7">
        <v>0</v>
      </c>
      <c r="F52" s="7">
        <v>54</v>
      </c>
      <c r="G52" s="7">
        <v>109</v>
      </c>
      <c r="H52" s="7">
        <v>122</v>
      </c>
      <c r="I52" s="8">
        <f t="shared" si="1"/>
        <v>0.5</v>
      </c>
      <c r="J52" s="7">
        <v>250</v>
      </c>
      <c r="K52" s="7"/>
      <c r="L52" s="7"/>
      <c r="M52" s="7"/>
      <c r="N52" s="7"/>
      <c r="O52" s="7">
        <v>119</v>
      </c>
      <c r="P52" s="7"/>
      <c r="Q52" s="7">
        <v>3</v>
      </c>
      <c r="R52" s="7">
        <f>SUM(K52,L52,M52,N52,O52,P52)</f>
        <v>119</v>
      </c>
      <c r="S52" s="11"/>
      <c r="T52" s="12"/>
      <c r="U52" s="2">
        <v>6617</v>
      </c>
    </row>
    <row r="53" spans="1:21" x14ac:dyDescent="0.5">
      <c r="A53" s="1">
        <v>67</v>
      </c>
      <c r="B53" s="1">
        <v>67.150000000000006</v>
      </c>
      <c r="C53" s="1">
        <v>53</v>
      </c>
      <c r="D53" s="1">
        <v>1428</v>
      </c>
      <c r="E53" s="1">
        <v>0</v>
      </c>
      <c r="F53" s="1">
        <v>290</v>
      </c>
      <c r="G53" s="1">
        <v>705</v>
      </c>
      <c r="H53" s="1">
        <v>882</v>
      </c>
      <c r="I53" s="6">
        <f t="shared" si="1"/>
        <v>0.61764705882352944</v>
      </c>
      <c r="J53" s="1">
        <v>1350</v>
      </c>
      <c r="K53" s="1">
        <v>15</v>
      </c>
      <c r="L53" s="1">
        <v>405</v>
      </c>
      <c r="M53" s="1"/>
      <c r="N53" s="1"/>
      <c r="O53" s="1">
        <v>444</v>
      </c>
      <c r="P53" s="1"/>
      <c r="Q53" s="1">
        <v>18</v>
      </c>
      <c r="R53" s="1">
        <f>SUM(K53,L53,M53,N53,O53,P53)</f>
        <v>864</v>
      </c>
      <c r="S53" s="11" t="s">
        <v>16</v>
      </c>
      <c r="T53" s="10">
        <v>0.12083333333333333</v>
      </c>
      <c r="U53" s="2">
        <v>6715</v>
      </c>
    </row>
    <row r="54" spans="1:21" x14ac:dyDescent="0.5">
      <c r="A54" s="1">
        <v>67</v>
      </c>
      <c r="B54" s="1">
        <v>67.150000000000006</v>
      </c>
      <c r="C54" s="1">
        <v>54</v>
      </c>
      <c r="D54" s="1">
        <v>552</v>
      </c>
      <c r="E54" s="1">
        <v>0</v>
      </c>
      <c r="F54" s="1">
        <v>213</v>
      </c>
      <c r="G54" s="1">
        <v>366</v>
      </c>
      <c r="H54" s="1">
        <v>391</v>
      </c>
      <c r="I54" s="6">
        <f t="shared" si="1"/>
        <v>0.70833333333333337</v>
      </c>
      <c r="J54" s="1">
        <v>500</v>
      </c>
      <c r="K54" s="1">
        <v>1</v>
      </c>
      <c r="L54" s="1">
        <v>218</v>
      </c>
      <c r="M54" s="1"/>
      <c r="N54" s="1"/>
      <c r="O54" s="1">
        <v>169</v>
      </c>
      <c r="P54" s="1"/>
      <c r="Q54" s="1">
        <v>3</v>
      </c>
      <c r="R54" s="1">
        <f>SUM(K54,L54,M54,N54,O54,P54)</f>
        <v>388</v>
      </c>
      <c r="S54" s="9" t="s">
        <v>14</v>
      </c>
      <c r="T54" s="10">
        <v>0.92152777777777783</v>
      </c>
      <c r="U54" s="2">
        <v>6715</v>
      </c>
    </row>
    <row r="55" spans="1:21" s="3" customFormat="1" x14ac:dyDescent="0.5">
      <c r="A55" s="7">
        <v>67</v>
      </c>
      <c r="B55" s="7">
        <v>67.150000000000006</v>
      </c>
      <c r="C55" s="7" t="s">
        <v>0</v>
      </c>
      <c r="D55" s="7">
        <v>1980</v>
      </c>
      <c r="E55" s="7">
        <v>0</v>
      </c>
      <c r="F55" s="7">
        <v>503</v>
      </c>
      <c r="G55" s="7">
        <v>1071</v>
      </c>
      <c r="H55" s="7">
        <f>SUM(H53:H54)</f>
        <v>1273</v>
      </c>
      <c r="I55" s="8">
        <f t="shared" si="1"/>
        <v>0.64292929292929291</v>
      </c>
      <c r="J55" s="7">
        <v>1850</v>
      </c>
      <c r="K55" s="7">
        <v>16</v>
      </c>
      <c r="L55" s="7">
        <v>623</v>
      </c>
      <c r="M55" s="7"/>
      <c r="N55" s="7"/>
      <c r="O55" s="7">
        <v>613</v>
      </c>
      <c r="P55" s="7"/>
      <c r="Q55" s="7">
        <v>21</v>
      </c>
      <c r="R55" s="7">
        <f>SUM(K55,L55,M55,N55,O55,P55)</f>
        <v>1252</v>
      </c>
      <c r="S55" s="11"/>
      <c r="T55" s="12"/>
      <c r="U55" s="2">
        <v>6715</v>
      </c>
    </row>
  </sheetData>
  <pageMargins left="0.25" right="0.25" top="0.5" bottom="0.25" header="0.25" footer="0"/>
  <pageSetup paperSize="9" orientation="landscape" horizontalDpi="4294967295" verticalDpi="4294967295" r:id="rId1"/>
  <headerFooter>
    <oddHeader>&amp;Lსაკრებულოს შუალედური არჩევნები&amp;R22.05.2016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E10E-F33F-4A74-8C1F-F3126D5B8D0B}">
  <dimension ref="A1:H24"/>
  <sheetViews>
    <sheetView workbookViewId="0"/>
  </sheetViews>
  <sheetFormatPr defaultRowHeight="14.6" x14ac:dyDescent="0.4"/>
  <cols>
    <col min="1" max="1" width="2.84375" bestFit="1" customWidth="1"/>
    <col min="2" max="2" width="11.3828125" bestFit="1" customWidth="1"/>
    <col min="3" max="3" width="16.3046875" bestFit="1" customWidth="1"/>
    <col min="4" max="4" width="26.61328125" customWidth="1"/>
    <col min="5" max="5" width="69.61328125" bestFit="1" customWidth="1"/>
    <col min="6" max="6" width="13.15234375" bestFit="1" customWidth="1"/>
    <col min="7" max="7" width="17.84375" bestFit="1" customWidth="1"/>
    <col min="8" max="8" width="9.23046875" style="25"/>
  </cols>
  <sheetData>
    <row r="1" spans="1:8" x14ac:dyDescent="0.4">
      <c r="A1" s="18" t="s">
        <v>22</v>
      </c>
      <c r="B1" s="18" t="s">
        <v>23</v>
      </c>
      <c r="C1" s="19" t="s">
        <v>24</v>
      </c>
      <c r="D1" s="19" t="s">
        <v>25</v>
      </c>
      <c r="E1" s="18" t="s">
        <v>26</v>
      </c>
      <c r="F1" s="20" t="s">
        <v>27</v>
      </c>
      <c r="G1" s="18" t="s">
        <v>28</v>
      </c>
      <c r="H1" s="25" t="s">
        <v>89</v>
      </c>
    </row>
    <row r="2" spans="1:8" ht="15.9" x14ac:dyDescent="0.4">
      <c r="A2" s="15">
        <v>10</v>
      </c>
      <c r="B2" s="21" t="s">
        <v>29</v>
      </c>
      <c r="C2" s="16">
        <v>10.220000000000001</v>
      </c>
      <c r="D2" s="22">
        <v>24</v>
      </c>
      <c r="E2" s="23" t="s">
        <v>30</v>
      </c>
      <c r="F2" s="23" t="s">
        <v>31</v>
      </c>
      <c r="G2" s="23" t="s">
        <v>32</v>
      </c>
      <c r="H2" s="26">
        <v>1022</v>
      </c>
    </row>
    <row r="3" spans="1:8" ht="15.9" x14ac:dyDescent="0.4">
      <c r="A3" s="15">
        <v>10</v>
      </c>
      <c r="B3" s="21" t="s">
        <v>29</v>
      </c>
      <c r="C3" s="16">
        <v>10.220000000000001</v>
      </c>
      <c r="D3" s="22">
        <v>1</v>
      </c>
      <c r="E3" s="23" t="s">
        <v>33</v>
      </c>
      <c r="F3" s="23" t="s">
        <v>34</v>
      </c>
      <c r="G3" s="23" t="s">
        <v>35</v>
      </c>
      <c r="H3" s="26">
        <v>1022</v>
      </c>
    </row>
    <row r="4" spans="1:8" ht="15.9" x14ac:dyDescent="0.4">
      <c r="A4" s="15">
        <v>10</v>
      </c>
      <c r="B4" s="21" t="s">
        <v>29</v>
      </c>
      <c r="C4" s="16">
        <v>10.220000000000001</v>
      </c>
      <c r="D4" s="22">
        <v>41</v>
      </c>
      <c r="E4" s="23" t="s">
        <v>36</v>
      </c>
      <c r="F4" s="23" t="s">
        <v>37</v>
      </c>
      <c r="G4" s="23" t="s">
        <v>38</v>
      </c>
      <c r="H4" s="26">
        <v>1022</v>
      </c>
    </row>
    <row r="5" spans="1:8" ht="15.9" x14ac:dyDescent="0.4">
      <c r="A5" s="15">
        <v>21</v>
      </c>
      <c r="B5" s="21" t="s">
        <v>39</v>
      </c>
      <c r="C5" s="16">
        <v>21.08</v>
      </c>
      <c r="D5" s="22">
        <v>24</v>
      </c>
      <c r="E5" s="23" t="s">
        <v>30</v>
      </c>
      <c r="F5" s="23" t="s">
        <v>40</v>
      </c>
      <c r="G5" s="23" t="s">
        <v>41</v>
      </c>
      <c r="H5" s="26">
        <v>2108</v>
      </c>
    </row>
    <row r="6" spans="1:8" ht="15.9" x14ac:dyDescent="0.4">
      <c r="A6" s="15">
        <v>21</v>
      </c>
      <c r="B6" s="21" t="s">
        <v>39</v>
      </c>
      <c r="C6" s="16">
        <v>21.08</v>
      </c>
      <c r="D6" s="22">
        <v>1</v>
      </c>
      <c r="E6" s="23" t="s">
        <v>33</v>
      </c>
      <c r="F6" s="23" t="s">
        <v>42</v>
      </c>
      <c r="G6" s="23" t="s">
        <v>43</v>
      </c>
      <c r="H6" s="26">
        <v>2108</v>
      </c>
    </row>
    <row r="7" spans="1:8" ht="15.9" x14ac:dyDescent="0.4">
      <c r="A7" s="15">
        <v>21</v>
      </c>
      <c r="B7" s="21" t="s">
        <v>39</v>
      </c>
      <c r="C7" s="16">
        <v>21.08</v>
      </c>
      <c r="D7" s="22">
        <v>41</v>
      </c>
      <c r="E7" s="23" t="s">
        <v>36</v>
      </c>
      <c r="F7" s="23" t="s">
        <v>44</v>
      </c>
      <c r="G7" s="23" t="s">
        <v>45</v>
      </c>
      <c r="H7" s="26">
        <v>2108</v>
      </c>
    </row>
    <row r="8" spans="1:8" ht="15.9" x14ac:dyDescent="0.4">
      <c r="A8" s="15">
        <v>21</v>
      </c>
      <c r="B8" s="21" t="s">
        <v>39</v>
      </c>
      <c r="C8" s="16">
        <v>21.08</v>
      </c>
      <c r="D8" s="22">
        <v>42</v>
      </c>
      <c r="E8" s="24" t="s">
        <v>46</v>
      </c>
      <c r="F8" s="23" t="s">
        <v>47</v>
      </c>
      <c r="G8" s="23" t="s">
        <v>48</v>
      </c>
      <c r="H8" s="26">
        <v>2108</v>
      </c>
    </row>
    <row r="9" spans="1:8" ht="15.9" x14ac:dyDescent="0.4">
      <c r="A9" s="15">
        <v>21</v>
      </c>
      <c r="B9" s="21" t="s">
        <v>39</v>
      </c>
      <c r="C9" s="16">
        <v>21.18</v>
      </c>
      <c r="D9" s="22">
        <v>1</v>
      </c>
      <c r="E9" s="23" t="s">
        <v>33</v>
      </c>
      <c r="F9" s="23" t="s">
        <v>49</v>
      </c>
      <c r="G9" s="23" t="s">
        <v>50</v>
      </c>
      <c r="H9" s="26">
        <v>2118</v>
      </c>
    </row>
    <row r="10" spans="1:8" ht="15.9" x14ac:dyDescent="0.4">
      <c r="A10" s="15">
        <v>21</v>
      </c>
      <c r="B10" s="21" t="s">
        <v>39</v>
      </c>
      <c r="C10" s="16">
        <v>21.18</v>
      </c>
      <c r="D10" s="22">
        <v>41</v>
      </c>
      <c r="E10" s="23" t="s">
        <v>36</v>
      </c>
      <c r="F10" s="23" t="s">
        <v>51</v>
      </c>
      <c r="G10" s="23" t="s">
        <v>52</v>
      </c>
      <c r="H10" s="26">
        <v>2118</v>
      </c>
    </row>
    <row r="11" spans="1:8" ht="15.9" x14ac:dyDescent="0.4">
      <c r="A11" s="15">
        <v>30</v>
      </c>
      <c r="B11" s="21" t="s">
        <v>53</v>
      </c>
      <c r="C11" s="16">
        <v>30.12</v>
      </c>
      <c r="D11" s="22">
        <v>24</v>
      </c>
      <c r="E11" s="23" t="s">
        <v>30</v>
      </c>
      <c r="F11" s="23" t="s">
        <v>54</v>
      </c>
      <c r="G11" s="23" t="s">
        <v>55</v>
      </c>
      <c r="H11" s="26">
        <v>3012</v>
      </c>
    </row>
    <row r="12" spans="1:8" ht="15.9" x14ac:dyDescent="0.4">
      <c r="A12" s="15">
        <v>30</v>
      </c>
      <c r="B12" s="21" t="s">
        <v>53</v>
      </c>
      <c r="C12" s="16">
        <v>30.12</v>
      </c>
      <c r="D12" s="22">
        <v>5</v>
      </c>
      <c r="E12" s="23" t="s">
        <v>56</v>
      </c>
      <c r="F12" s="23" t="s">
        <v>57</v>
      </c>
      <c r="G12" s="23" t="s">
        <v>58</v>
      </c>
      <c r="H12" s="26">
        <v>3012</v>
      </c>
    </row>
    <row r="13" spans="1:8" ht="15.9" x14ac:dyDescent="0.4">
      <c r="A13" s="15">
        <v>30</v>
      </c>
      <c r="B13" s="21" t="s">
        <v>53</v>
      </c>
      <c r="C13" s="16">
        <v>30.12</v>
      </c>
      <c r="D13" s="22">
        <v>41</v>
      </c>
      <c r="E13" s="23" t="s">
        <v>36</v>
      </c>
      <c r="F13" s="23" t="s">
        <v>59</v>
      </c>
      <c r="G13" s="23" t="s">
        <v>60</v>
      </c>
      <c r="H13" s="26">
        <v>3012</v>
      </c>
    </row>
    <row r="14" spans="1:8" ht="15.9" x14ac:dyDescent="0.4">
      <c r="A14" s="15">
        <v>58</v>
      </c>
      <c r="B14" s="21" t="s">
        <v>61</v>
      </c>
      <c r="C14" s="16">
        <v>58.17</v>
      </c>
      <c r="D14" s="22">
        <v>41</v>
      </c>
      <c r="E14" s="23" t="s">
        <v>36</v>
      </c>
      <c r="F14" s="23" t="s">
        <v>62</v>
      </c>
      <c r="G14" s="23" t="s">
        <v>63</v>
      </c>
      <c r="H14" s="26">
        <v>5817</v>
      </c>
    </row>
    <row r="15" spans="1:8" ht="15.9" x14ac:dyDescent="0.4">
      <c r="A15" s="15">
        <v>58</v>
      </c>
      <c r="B15" s="21" t="s">
        <v>61</v>
      </c>
      <c r="C15" s="16">
        <v>58.17</v>
      </c>
      <c r="D15" s="22">
        <v>5</v>
      </c>
      <c r="E15" s="23" t="s">
        <v>56</v>
      </c>
      <c r="F15" s="23" t="s">
        <v>64</v>
      </c>
      <c r="G15" s="23" t="s">
        <v>65</v>
      </c>
      <c r="H15" s="26">
        <v>5817</v>
      </c>
    </row>
    <row r="16" spans="1:8" ht="15.9" x14ac:dyDescent="0.4">
      <c r="A16" s="15">
        <v>58</v>
      </c>
      <c r="B16" s="21" t="s">
        <v>61</v>
      </c>
      <c r="C16" s="16">
        <v>58.17</v>
      </c>
      <c r="D16" s="22">
        <v>33</v>
      </c>
      <c r="E16" s="24" t="s">
        <v>66</v>
      </c>
      <c r="F16" s="23" t="s">
        <v>67</v>
      </c>
      <c r="G16" s="23" t="s">
        <v>68</v>
      </c>
      <c r="H16" s="26">
        <v>5817</v>
      </c>
    </row>
    <row r="17" spans="1:8" ht="15.9" x14ac:dyDescent="0.4">
      <c r="A17" s="15">
        <v>60</v>
      </c>
      <c r="B17" s="21" t="s">
        <v>69</v>
      </c>
      <c r="C17" s="17">
        <v>58444</v>
      </c>
      <c r="D17" s="22">
        <v>42</v>
      </c>
      <c r="E17" s="24" t="s">
        <v>70</v>
      </c>
      <c r="F17" s="23" t="s">
        <v>71</v>
      </c>
      <c r="G17" s="23" t="s">
        <v>72</v>
      </c>
      <c r="H17" s="26">
        <v>60104</v>
      </c>
    </row>
    <row r="18" spans="1:8" ht="15.9" x14ac:dyDescent="0.4">
      <c r="A18" s="15">
        <v>60</v>
      </c>
      <c r="B18" s="21" t="s">
        <v>69</v>
      </c>
      <c r="C18" s="17">
        <v>58444</v>
      </c>
      <c r="D18" s="22">
        <v>41</v>
      </c>
      <c r="E18" s="23" t="s">
        <v>36</v>
      </c>
      <c r="F18" s="23" t="s">
        <v>73</v>
      </c>
      <c r="G18" s="23" t="s">
        <v>74</v>
      </c>
      <c r="H18" s="26">
        <v>60104</v>
      </c>
    </row>
    <row r="19" spans="1:8" ht="15.9" x14ac:dyDescent="0.4">
      <c r="A19" s="15">
        <v>60</v>
      </c>
      <c r="B19" s="21" t="s">
        <v>69</v>
      </c>
      <c r="C19" s="16">
        <v>60.05</v>
      </c>
      <c r="D19" s="22">
        <v>5</v>
      </c>
      <c r="E19" s="23" t="s">
        <v>56</v>
      </c>
      <c r="F19" s="23" t="s">
        <v>75</v>
      </c>
      <c r="G19" s="23" t="s">
        <v>76</v>
      </c>
      <c r="H19" s="26">
        <v>6005</v>
      </c>
    </row>
    <row r="20" spans="1:8" ht="15.9" x14ac:dyDescent="0.4">
      <c r="A20" s="15">
        <v>60</v>
      </c>
      <c r="B20" s="21" t="s">
        <v>69</v>
      </c>
      <c r="C20" s="16">
        <v>60.05</v>
      </c>
      <c r="D20" s="22">
        <v>41</v>
      </c>
      <c r="E20" s="23" t="s">
        <v>36</v>
      </c>
      <c r="F20" s="23" t="s">
        <v>77</v>
      </c>
      <c r="G20" s="23" t="s">
        <v>78</v>
      </c>
      <c r="H20" s="26">
        <v>6005</v>
      </c>
    </row>
    <row r="21" spans="1:8" ht="15.9" x14ac:dyDescent="0.4">
      <c r="A21" s="15">
        <v>66</v>
      </c>
      <c r="B21" s="21" t="s">
        <v>79</v>
      </c>
      <c r="C21" s="16">
        <v>66.17</v>
      </c>
      <c r="D21" s="22">
        <v>41</v>
      </c>
      <c r="E21" s="23" t="s">
        <v>36</v>
      </c>
      <c r="F21" s="23" t="s">
        <v>80</v>
      </c>
      <c r="G21" s="23" t="s">
        <v>81</v>
      </c>
      <c r="H21" s="26">
        <v>6617</v>
      </c>
    </row>
    <row r="22" spans="1:8" ht="15.9" x14ac:dyDescent="0.4">
      <c r="A22" s="15">
        <v>67</v>
      </c>
      <c r="B22" s="21" t="s">
        <v>82</v>
      </c>
      <c r="C22" s="16">
        <v>67.150000000000006</v>
      </c>
      <c r="D22" s="22">
        <v>1</v>
      </c>
      <c r="E22" s="23" t="s">
        <v>33</v>
      </c>
      <c r="F22" s="23" t="s">
        <v>83</v>
      </c>
      <c r="G22" s="23" t="s">
        <v>84</v>
      </c>
      <c r="H22" s="26">
        <v>6715</v>
      </c>
    </row>
    <row r="23" spans="1:8" ht="15.9" x14ac:dyDescent="0.4">
      <c r="A23" s="15">
        <v>67</v>
      </c>
      <c r="B23" s="21" t="s">
        <v>82</v>
      </c>
      <c r="C23" s="16">
        <v>67.150000000000006</v>
      </c>
      <c r="D23" s="22">
        <v>5</v>
      </c>
      <c r="E23" s="23" t="s">
        <v>56</v>
      </c>
      <c r="F23" s="23" t="s">
        <v>85</v>
      </c>
      <c r="G23" s="23" t="s">
        <v>86</v>
      </c>
      <c r="H23" s="26">
        <v>6715</v>
      </c>
    </row>
    <row r="24" spans="1:8" ht="15.9" x14ac:dyDescent="0.4">
      <c r="A24" s="15">
        <v>67</v>
      </c>
      <c r="B24" s="21" t="s">
        <v>82</v>
      </c>
      <c r="C24" s="16">
        <v>67.150000000000006</v>
      </c>
      <c r="D24" s="22">
        <v>41</v>
      </c>
      <c r="E24" s="23" t="s">
        <v>36</v>
      </c>
      <c r="F24" s="23" t="s">
        <v>87</v>
      </c>
      <c r="G24" s="23" t="s">
        <v>88</v>
      </c>
      <c r="H24" s="26">
        <v>6715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შედეგები</vt:lpstr>
      <vt:lpstr>კანდიდატი</vt:lpstr>
      <vt:lpstr>შედეგები!Print_Titles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2026-05-12T16:57:30Z</dcterms:modified>
</cp:coreProperties>
</file>