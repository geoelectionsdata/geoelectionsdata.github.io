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B21E82C3-3737-4228-A6AF-9D0E215B65E5}" xr6:coauthVersionLast="47" xr6:coauthVersionMax="47" xr10:uidLastSave="{00000000-0000-0000-0000-000000000000}"/>
  <bookViews>
    <workbookView xWindow="-103" yWindow="-103" windowWidth="33120" windowHeight="18000" activeTab="2" xr2:uid="{00000000-000D-0000-FFFF-FFFF00000000}"/>
  </bookViews>
  <sheets>
    <sheet name="მერი" sheetId="4" r:id="rId1"/>
    <sheet name="საკრებულო" sheetId="2" r:id="rId2"/>
    <sheet name="Candidate" sheetId="5" r:id="rId3"/>
  </sheets>
  <definedNames>
    <definedName name="_xlnm._FilterDatabase" localSheetId="0" hidden="1">მერი!$A$1:$AE$372</definedName>
    <definedName name="_xlnm.Print_Titles" localSheetId="1">საკრებულო!$A:$A,საკრებულო!$1:$1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7" i="2"/>
  <c r="I9" i="2"/>
  <c r="I10" i="2"/>
  <c r="I12" i="2"/>
  <c r="I13" i="2"/>
  <c r="I14" i="2"/>
  <c r="I15" i="2"/>
  <c r="I16" i="2"/>
  <c r="I17" i="2"/>
  <c r="I18" i="2"/>
  <c r="I20" i="2"/>
  <c r="I21" i="2"/>
  <c r="I22" i="2"/>
  <c r="I23" i="2"/>
  <c r="I25" i="2"/>
  <c r="I26" i="2"/>
  <c r="I27" i="2"/>
  <c r="I28" i="2"/>
  <c r="I30" i="2"/>
  <c r="I31" i="2"/>
  <c r="I32" i="2"/>
  <c r="I33" i="2"/>
  <c r="I34" i="2"/>
  <c r="I2" i="2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2" i="4"/>
  <c r="E372" i="4" l="1"/>
  <c r="F372" i="4"/>
  <c r="G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D372" i="4"/>
  <c r="C372" i="4"/>
  <c r="D372" i="4"/>
  <c r="E316" i="4"/>
  <c r="F316" i="4"/>
  <c r="G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D316" i="4"/>
  <c r="C316" i="4"/>
  <c r="D316" i="4"/>
  <c r="E207" i="4"/>
  <c r="F207" i="4"/>
  <c r="G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D207" i="4"/>
  <c r="C207" i="4"/>
  <c r="D207" i="4"/>
  <c r="E147" i="4"/>
  <c r="F147" i="4"/>
  <c r="G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D147" i="4"/>
  <c r="C147" i="4"/>
  <c r="D147" i="4"/>
  <c r="D92" i="4"/>
  <c r="E92" i="4"/>
  <c r="F92" i="4"/>
  <c r="G92" i="4"/>
  <c r="H92" i="4" s="1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D92" i="4"/>
  <c r="C92" i="4"/>
  <c r="AC94" i="4"/>
  <c r="AC105" i="4"/>
  <c r="AC107" i="4"/>
  <c r="AC115" i="4"/>
  <c r="E35" i="2"/>
  <c r="F35" i="2"/>
  <c r="G35" i="2"/>
  <c r="H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C35" i="2"/>
  <c r="D35" i="2"/>
  <c r="E29" i="2"/>
  <c r="F29" i="2"/>
  <c r="G29" i="2"/>
  <c r="H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C29" i="2"/>
  <c r="D29" i="2"/>
  <c r="E24" i="2"/>
  <c r="F24" i="2"/>
  <c r="G24" i="2"/>
  <c r="H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C24" i="2"/>
  <c r="D24" i="2"/>
  <c r="E19" i="2"/>
  <c r="F19" i="2"/>
  <c r="G19" i="2"/>
  <c r="H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C19" i="2"/>
  <c r="D19" i="2"/>
  <c r="E11" i="2"/>
  <c r="F11" i="2"/>
  <c r="G11" i="2"/>
  <c r="H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C11" i="2"/>
  <c r="D11" i="2"/>
  <c r="E8" i="2"/>
  <c r="F8" i="2"/>
  <c r="G8" i="2"/>
  <c r="H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C8" i="2"/>
  <c r="D8" i="2"/>
  <c r="E6" i="2"/>
  <c r="F6" i="2"/>
  <c r="G6" i="2"/>
  <c r="H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C6" i="2"/>
  <c r="D6" i="2"/>
  <c r="E3" i="2"/>
  <c r="F3" i="2"/>
  <c r="G3" i="2"/>
  <c r="H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D3" i="2"/>
  <c r="AB4" i="2"/>
  <c r="AB5" i="2"/>
  <c r="AD5" i="2" s="1"/>
  <c r="AB7" i="2"/>
  <c r="AD7" i="2" s="1"/>
  <c r="AB9" i="2"/>
  <c r="AB10" i="2"/>
  <c r="AD10" i="2" s="1"/>
  <c r="AB12" i="2"/>
  <c r="AD12" i="2" s="1"/>
  <c r="AB13" i="2"/>
  <c r="AD13" i="2" s="1"/>
  <c r="AB14" i="2"/>
  <c r="AD14" i="2" s="1"/>
  <c r="AB15" i="2"/>
  <c r="AD15" i="2" s="1"/>
  <c r="AB16" i="2"/>
  <c r="AD16" i="2" s="1"/>
  <c r="AB17" i="2"/>
  <c r="AD17" i="2" s="1"/>
  <c r="AB18" i="2"/>
  <c r="AD18" i="2" s="1"/>
  <c r="AB20" i="2"/>
  <c r="AD20" i="2" s="1"/>
  <c r="AB21" i="2"/>
  <c r="AD21" i="2" s="1"/>
  <c r="AB22" i="2"/>
  <c r="AD22" i="2" s="1"/>
  <c r="AB23" i="2"/>
  <c r="AD23" i="2" s="1"/>
  <c r="AB25" i="2"/>
  <c r="AD25" i="2" s="1"/>
  <c r="AB26" i="2"/>
  <c r="AD26" i="2" s="1"/>
  <c r="AB27" i="2"/>
  <c r="AD27" i="2" s="1"/>
  <c r="AB28" i="2"/>
  <c r="AD28" i="2" s="1"/>
  <c r="AB30" i="2"/>
  <c r="AD30" i="2" s="1"/>
  <c r="AB31" i="2"/>
  <c r="AD31" i="2" s="1"/>
  <c r="AB32" i="2"/>
  <c r="AD32" i="2" s="1"/>
  <c r="AB33" i="2"/>
  <c r="AD33" i="2" s="1"/>
  <c r="AB34" i="2"/>
  <c r="AD34" i="2" s="1"/>
  <c r="AB2" i="2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5" i="4"/>
  <c r="AC96" i="4"/>
  <c r="AC97" i="4"/>
  <c r="AC98" i="4"/>
  <c r="AC99" i="4"/>
  <c r="AC100" i="4"/>
  <c r="AC101" i="4"/>
  <c r="AC102" i="4"/>
  <c r="AC103" i="4"/>
  <c r="AC104" i="4"/>
  <c r="AC106" i="4"/>
  <c r="AC108" i="4"/>
  <c r="AC109" i="4"/>
  <c r="AC110" i="4"/>
  <c r="AC111" i="4"/>
  <c r="AC112" i="4"/>
  <c r="AC113" i="4"/>
  <c r="AC114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2" i="4"/>
  <c r="H316" i="4" l="1"/>
  <c r="H147" i="4"/>
  <c r="I8" i="2"/>
  <c r="I11" i="2"/>
  <c r="I19" i="2"/>
  <c r="I24" i="2"/>
  <c r="I29" i="2"/>
  <c r="I35" i="2"/>
  <c r="AB3" i="2"/>
  <c r="AD3" i="2" s="1"/>
  <c r="AD2" i="2"/>
  <c r="AB8" i="2"/>
  <c r="AD8" i="2" s="1"/>
  <c r="AB6" i="2"/>
  <c r="AD6" i="2" s="1"/>
  <c r="AD4" i="2"/>
  <c r="AB11" i="2"/>
  <c r="AD11" i="2" s="1"/>
  <c r="AD9" i="2"/>
  <c r="I3" i="2"/>
  <c r="I6" i="2"/>
  <c r="AE265" i="4"/>
  <c r="H207" i="4"/>
  <c r="AB375" i="4"/>
  <c r="X375" i="4"/>
  <c r="T375" i="4"/>
  <c r="P375" i="4"/>
  <c r="L375" i="4"/>
  <c r="G375" i="4"/>
  <c r="H372" i="4"/>
  <c r="AE2" i="4"/>
  <c r="AE364" i="4"/>
  <c r="AE356" i="4"/>
  <c r="AE348" i="4"/>
  <c r="AE340" i="4"/>
  <c r="AE332" i="4"/>
  <c r="AE324" i="4"/>
  <c r="AE310" i="4"/>
  <c r="AE302" i="4"/>
  <c r="AE294" i="4"/>
  <c r="AE290" i="4"/>
  <c r="AE282" i="4"/>
  <c r="AE274" i="4"/>
  <c r="AE266" i="4"/>
  <c r="Y375" i="4"/>
  <c r="Q375" i="4"/>
  <c r="I375" i="4"/>
  <c r="AE367" i="4"/>
  <c r="AE359" i="4"/>
  <c r="AE351" i="4"/>
  <c r="AE343" i="4"/>
  <c r="AE335" i="4"/>
  <c r="AE327" i="4"/>
  <c r="AE319" i="4"/>
  <c r="AE309" i="4"/>
  <c r="AE301" i="4"/>
  <c r="AE293" i="4"/>
  <c r="AE285" i="4"/>
  <c r="AE269" i="4"/>
  <c r="AE370" i="4"/>
  <c r="AE366" i="4"/>
  <c r="AE362" i="4"/>
  <c r="AE358" i="4"/>
  <c r="AE354" i="4"/>
  <c r="AE350" i="4"/>
  <c r="AE346" i="4"/>
  <c r="AE342" i="4"/>
  <c r="AE338" i="4"/>
  <c r="AE334" i="4"/>
  <c r="AE330" i="4"/>
  <c r="AE326" i="4"/>
  <c r="AE322" i="4"/>
  <c r="AE318" i="4"/>
  <c r="AE312" i="4"/>
  <c r="AE308" i="4"/>
  <c r="AE304" i="4"/>
  <c r="AE300" i="4"/>
  <c r="AE296" i="4"/>
  <c r="AE292" i="4"/>
  <c r="AE288" i="4"/>
  <c r="AE284" i="4"/>
  <c r="AE280" i="4"/>
  <c r="AE276" i="4"/>
  <c r="AE272" i="4"/>
  <c r="AE268" i="4"/>
  <c r="AE264" i="4"/>
  <c r="D375" i="4"/>
  <c r="AA375" i="4"/>
  <c r="W375" i="4"/>
  <c r="S375" i="4"/>
  <c r="O375" i="4"/>
  <c r="K375" i="4"/>
  <c r="F375" i="4"/>
  <c r="AE368" i="4"/>
  <c r="AE360" i="4"/>
  <c r="AE352" i="4"/>
  <c r="AE344" i="4"/>
  <c r="AE336" i="4"/>
  <c r="AE328" i="4"/>
  <c r="AE320" i="4"/>
  <c r="AE314" i="4"/>
  <c r="AE306" i="4"/>
  <c r="AE298" i="4"/>
  <c r="AE286" i="4"/>
  <c r="AE278" i="4"/>
  <c r="AE270" i="4"/>
  <c r="AE262" i="4"/>
  <c r="AD375" i="4"/>
  <c r="U375" i="4"/>
  <c r="M375" i="4"/>
  <c r="AE371" i="4"/>
  <c r="AE363" i="4"/>
  <c r="AE355" i="4"/>
  <c r="AE347" i="4"/>
  <c r="AE339" i="4"/>
  <c r="AE331" i="4"/>
  <c r="AE323" i="4"/>
  <c r="AE313" i="4"/>
  <c r="AE305" i="4"/>
  <c r="AE297" i="4"/>
  <c r="AE289" i="4"/>
  <c r="AE281" i="4"/>
  <c r="AE277" i="4"/>
  <c r="AE273" i="4"/>
  <c r="AE369" i="4"/>
  <c r="AE365" i="4"/>
  <c r="AE361" i="4"/>
  <c r="AE357" i="4"/>
  <c r="AE353" i="4"/>
  <c r="AE349" i="4"/>
  <c r="AE345" i="4"/>
  <c r="AE341" i="4"/>
  <c r="AE337" i="4"/>
  <c r="AE333" i="4"/>
  <c r="AE329" i="4"/>
  <c r="AE325" i="4"/>
  <c r="AE321" i="4"/>
  <c r="AE315" i="4"/>
  <c r="AE311" i="4"/>
  <c r="AE307" i="4"/>
  <c r="AE303" i="4"/>
  <c r="AE299" i="4"/>
  <c r="AE295" i="4"/>
  <c r="AE291" i="4"/>
  <c r="AE287" i="4"/>
  <c r="AE283" i="4"/>
  <c r="AE279" i="4"/>
  <c r="AE275" i="4"/>
  <c r="AE271" i="4"/>
  <c r="AE267" i="4"/>
  <c r="AE263" i="4"/>
  <c r="C375" i="4"/>
  <c r="Z375" i="4"/>
  <c r="V375" i="4"/>
  <c r="R375" i="4"/>
  <c r="N375" i="4"/>
  <c r="J375" i="4"/>
  <c r="E375" i="4"/>
  <c r="AE258" i="4"/>
  <c r="AE250" i="4"/>
  <c r="AE246" i="4"/>
  <c r="AE238" i="4"/>
  <c r="AE230" i="4"/>
  <c r="AE222" i="4"/>
  <c r="AE214" i="4"/>
  <c r="AE204" i="4"/>
  <c r="AE257" i="4"/>
  <c r="AE249" i="4"/>
  <c r="AE241" i="4"/>
  <c r="AE233" i="4"/>
  <c r="AE225" i="4"/>
  <c r="AE217" i="4"/>
  <c r="AE209" i="4"/>
  <c r="AE199" i="4"/>
  <c r="AE260" i="4"/>
  <c r="AE256" i="4"/>
  <c r="AE252" i="4"/>
  <c r="AE248" i="4"/>
  <c r="AE244" i="4"/>
  <c r="AE240" i="4"/>
  <c r="AE236" i="4"/>
  <c r="AE232" i="4"/>
  <c r="AE228" i="4"/>
  <c r="AE224" i="4"/>
  <c r="AE220" i="4"/>
  <c r="AE216" i="4"/>
  <c r="AE212" i="4"/>
  <c r="AE206" i="4"/>
  <c r="AE202" i="4"/>
  <c r="AE198" i="4"/>
  <c r="AE254" i="4"/>
  <c r="AE242" i="4"/>
  <c r="AE234" i="4"/>
  <c r="AE226" i="4"/>
  <c r="AE218" i="4"/>
  <c r="AE210" i="4"/>
  <c r="AE200" i="4"/>
  <c r="AE261" i="4"/>
  <c r="AE253" i="4"/>
  <c r="AE245" i="4"/>
  <c r="AE237" i="4"/>
  <c r="AE229" i="4"/>
  <c r="AE221" i="4"/>
  <c r="AE213" i="4"/>
  <c r="AE203" i="4"/>
  <c r="AE259" i="4"/>
  <c r="AE255" i="4"/>
  <c r="AE251" i="4"/>
  <c r="AE247" i="4"/>
  <c r="AE243" i="4"/>
  <c r="AE239" i="4"/>
  <c r="AE235" i="4"/>
  <c r="AE231" i="4"/>
  <c r="AE227" i="4"/>
  <c r="AE223" i="4"/>
  <c r="AE219" i="4"/>
  <c r="AE215" i="4"/>
  <c r="AE211" i="4"/>
  <c r="AE205" i="4"/>
  <c r="AE201" i="4"/>
  <c r="AE197" i="4"/>
  <c r="AE192" i="4"/>
  <c r="AE184" i="4"/>
  <c r="AE176" i="4"/>
  <c r="AE168" i="4"/>
  <c r="AE160" i="4"/>
  <c r="AE152" i="4"/>
  <c r="AE142" i="4"/>
  <c r="AE134" i="4"/>
  <c r="AE195" i="4"/>
  <c r="AE187" i="4"/>
  <c r="AE179" i="4"/>
  <c r="AE171" i="4"/>
  <c r="AE163" i="4"/>
  <c r="AE155" i="4"/>
  <c r="AE145" i="4"/>
  <c r="AE137" i="4"/>
  <c r="AE194" i="4"/>
  <c r="AE190" i="4"/>
  <c r="AE186" i="4"/>
  <c r="AE182" i="4"/>
  <c r="AE178" i="4"/>
  <c r="AE174" i="4"/>
  <c r="AE170" i="4"/>
  <c r="AE166" i="4"/>
  <c r="AE162" i="4"/>
  <c r="AE158" i="4"/>
  <c r="AE154" i="4"/>
  <c r="AE150" i="4"/>
  <c r="AE144" i="4"/>
  <c r="AE140" i="4"/>
  <c r="AE136" i="4"/>
  <c r="AE132" i="4"/>
  <c r="AE196" i="4"/>
  <c r="AE188" i="4"/>
  <c r="AE180" i="4"/>
  <c r="AE172" i="4"/>
  <c r="AE164" i="4"/>
  <c r="AE156" i="4"/>
  <c r="AE146" i="4"/>
  <c r="AE138" i="4"/>
  <c r="AE191" i="4"/>
  <c r="AE183" i="4"/>
  <c r="AE175" i="4"/>
  <c r="AE167" i="4"/>
  <c r="AE159" i="4"/>
  <c r="AE151" i="4"/>
  <c r="AE141" i="4"/>
  <c r="AE133" i="4"/>
  <c r="AE193" i="4"/>
  <c r="AE189" i="4"/>
  <c r="AE185" i="4"/>
  <c r="AE181" i="4"/>
  <c r="AE177" i="4"/>
  <c r="AE173" i="4"/>
  <c r="AE169" i="4"/>
  <c r="AE165" i="4"/>
  <c r="AE161" i="4"/>
  <c r="AE157" i="4"/>
  <c r="AE153" i="4"/>
  <c r="AE149" i="4"/>
  <c r="AE143" i="4"/>
  <c r="AE139" i="4"/>
  <c r="AE135" i="4"/>
  <c r="AE126" i="4"/>
  <c r="AE113" i="4"/>
  <c r="AE99" i="4"/>
  <c r="AE84" i="4"/>
  <c r="AE72" i="4"/>
  <c r="AE64" i="4"/>
  <c r="AE52" i="4"/>
  <c r="AE48" i="4"/>
  <c r="AE44" i="4"/>
  <c r="AE40" i="4"/>
  <c r="AE36" i="4"/>
  <c r="AE32" i="4"/>
  <c r="AE24" i="4"/>
  <c r="AE16" i="4"/>
  <c r="AE12" i="4"/>
  <c r="AE8" i="4"/>
  <c r="AE4" i="4"/>
  <c r="AE105" i="4"/>
  <c r="AE129" i="4"/>
  <c r="AE125" i="4"/>
  <c r="AE121" i="4"/>
  <c r="AE117" i="4"/>
  <c r="AE112" i="4"/>
  <c r="AE108" i="4"/>
  <c r="AE102" i="4"/>
  <c r="AE98" i="4"/>
  <c r="AE91" i="4"/>
  <c r="AE87" i="4"/>
  <c r="AE83" i="4"/>
  <c r="AE79" i="4"/>
  <c r="AE75" i="4"/>
  <c r="AE71" i="4"/>
  <c r="AE67" i="4"/>
  <c r="AE63" i="4"/>
  <c r="AE59" i="4"/>
  <c r="AE55" i="4"/>
  <c r="AE51" i="4"/>
  <c r="AE47" i="4"/>
  <c r="AE43" i="4"/>
  <c r="AE39" i="4"/>
  <c r="AE35" i="4"/>
  <c r="AE31" i="4"/>
  <c r="AE27" i="4"/>
  <c r="AE23" i="4"/>
  <c r="AE19" i="4"/>
  <c r="AE15" i="4"/>
  <c r="AE11" i="4"/>
  <c r="AE7" i="4"/>
  <c r="AE3" i="4"/>
  <c r="AE94" i="4"/>
  <c r="AE130" i="4"/>
  <c r="AE118" i="4"/>
  <c r="AE103" i="4"/>
  <c r="AE88" i="4"/>
  <c r="AE80" i="4"/>
  <c r="AE68" i="4"/>
  <c r="AE56" i="4"/>
  <c r="AE28" i="4"/>
  <c r="AE128" i="4"/>
  <c r="AE124" i="4"/>
  <c r="AE120" i="4"/>
  <c r="AE116" i="4"/>
  <c r="AE111" i="4"/>
  <c r="AE106" i="4"/>
  <c r="AE101" i="4"/>
  <c r="AE97" i="4"/>
  <c r="AE90" i="4"/>
  <c r="AE86" i="4"/>
  <c r="AE82" i="4"/>
  <c r="AE78" i="4"/>
  <c r="AE74" i="4"/>
  <c r="AE70" i="4"/>
  <c r="AE66" i="4"/>
  <c r="AE62" i="4"/>
  <c r="AE58" i="4"/>
  <c r="AE54" i="4"/>
  <c r="AE50" i="4"/>
  <c r="AE46" i="4"/>
  <c r="AE42" i="4"/>
  <c r="AE38" i="4"/>
  <c r="AE34" i="4"/>
  <c r="AE30" i="4"/>
  <c r="AE26" i="4"/>
  <c r="AE22" i="4"/>
  <c r="AE18" i="4"/>
  <c r="AE14" i="4"/>
  <c r="AE10" i="4"/>
  <c r="AE6" i="4"/>
  <c r="AE115" i="4"/>
  <c r="AE122" i="4"/>
  <c r="AE109" i="4"/>
  <c r="AE95" i="4"/>
  <c r="AE76" i="4"/>
  <c r="AE60" i="4"/>
  <c r="AE20" i="4"/>
  <c r="AE131" i="4"/>
  <c r="AE127" i="4"/>
  <c r="AE123" i="4"/>
  <c r="AE119" i="4"/>
  <c r="AE114" i="4"/>
  <c r="AE110" i="4"/>
  <c r="AE104" i="4"/>
  <c r="AE100" i="4"/>
  <c r="AE96" i="4"/>
  <c r="AE89" i="4"/>
  <c r="AE85" i="4"/>
  <c r="AE81" i="4"/>
  <c r="AE77" i="4"/>
  <c r="AE73" i="4"/>
  <c r="AE69" i="4"/>
  <c r="AE65" i="4"/>
  <c r="AE61" i="4"/>
  <c r="AE57" i="4"/>
  <c r="AE53" i="4"/>
  <c r="AE49" i="4"/>
  <c r="AE45" i="4"/>
  <c r="AE41" i="4"/>
  <c r="AE37" i="4"/>
  <c r="AE33" i="4"/>
  <c r="AE29" i="4"/>
  <c r="AE25" i="4"/>
  <c r="AE21" i="4"/>
  <c r="AE17" i="4"/>
  <c r="AE13" i="4"/>
  <c r="AE9" i="4"/>
  <c r="AE5" i="4"/>
  <c r="AE107" i="4"/>
  <c r="AC372" i="4"/>
  <c r="Y373" i="4" s="1"/>
  <c r="AC92" i="4"/>
  <c r="AC316" i="4"/>
  <c r="AC207" i="4"/>
  <c r="T208" i="4" s="1"/>
  <c r="AC147" i="4"/>
  <c r="AB24" i="2"/>
  <c r="AD24" i="2" s="1"/>
  <c r="AB29" i="2"/>
  <c r="AD29" i="2" s="1"/>
  <c r="AB35" i="2"/>
  <c r="AD35" i="2" s="1"/>
  <c r="AB19" i="2"/>
  <c r="AD19" i="2" s="1"/>
  <c r="V373" i="4" l="1"/>
  <c r="S373" i="4"/>
  <c r="P373" i="4"/>
  <c r="M373" i="4"/>
  <c r="J373" i="4"/>
  <c r="Z373" i="4"/>
  <c r="W373" i="4"/>
  <c r="T373" i="4"/>
  <c r="Q373" i="4"/>
  <c r="N373" i="4"/>
  <c r="K373" i="4"/>
  <c r="AA373" i="4"/>
  <c r="X373" i="4"/>
  <c r="U373" i="4"/>
  <c r="R373" i="4"/>
  <c r="O373" i="4"/>
  <c r="L373" i="4"/>
  <c r="AB373" i="4"/>
  <c r="N317" i="4"/>
  <c r="R317" i="4"/>
  <c r="V317" i="4"/>
  <c r="Z317" i="4"/>
  <c r="K317" i="4"/>
  <c r="O317" i="4"/>
  <c r="S317" i="4"/>
  <c r="W317" i="4"/>
  <c r="AA317" i="4"/>
  <c r="P317" i="4"/>
  <c r="T317" i="4"/>
  <c r="X317" i="4"/>
  <c r="AB317" i="4"/>
  <c r="M317" i="4"/>
  <c r="Q317" i="4"/>
  <c r="U317" i="4"/>
  <c r="Y317" i="4"/>
  <c r="J317" i="4"/>
  <c r="L317" i="4"/>
  <c r="V208" i="4"/>
  <c r="M208" i="4"/>
  <c r="W208" i="4"/>
  <c r="Y208" i="4"/>
  <c r="X208" i="4"/>
  <c r="J208" i="4"/>
  <c r="Z208" i="4"/>
  <c r="U208" i="4"/>
  <c r="K208" i="4"/>
  <c r="AA208" i="4"/>
  <c r="L208" i="4"/>
  <c r="AB208" i="4"/>
  <c r="N208" i="4"/>
  <c r="AE372" i="4"/>
  <c r="O208" i="4"/>
  <c r="H375" i="4"/>
  <c r="P208" i="4"/>
  <c r="R208" i="4"/>
  <c r="S208" i="4"/>
  <c r="Q208" i="4"/>
  <c r="M148" i="4"/>
  <c r="Q148" i="4"/>
  <c r="U148" i="4"/>
  <c r="Y148" i="4"/>
  <c r="J148" i="4"/>
  <c r="N148" i="4"/>
  <c r="R148" i="4"/>
  <c r="V148" i="4"/>
  <c r="Z148" i="4"/>
  <c r="K148" i="4"/>
  <c r="O148" i="4"/>
  <c r="S148" i="4"/>
  <c r="W148" i="4"/>
  <c r="AA148" i="4"/>
  <c r="L148" i="4"/>
  <c r="P148" i="4"/>
  <c r="T148" i="4"/>
  <c r="X148" i="4"/>
  <c r="AB148" i="4"/>
  <c r="AE316" i="4"/>
  <c r="M93" i="4"/>
  <c r="Q93" i="4"/>
  <c r="U93" i="4"/>
  <c r="Y93" i="4"/>
  <c r="J93" i="4"/>
  <c r="N93" i="4"/>
  <c r="R93" i="4"/>
  <c r="V93" i="4"/>
  <c r="Z93" i="4"/>
  <c r="K93" i="4"/>
  <c r="O93" i="4"/>
  <c r="S93" i="4"/>
  <c r="W93" i="4"/>
  <c r="AA93" i="4"/>
  <c r="L93" i="4"/>
  <c r="P93" i="4"/>
  <c r="T93" i="4"/>
  <c r="X93" i="4"/>
  <c r="AB93" i="4"/>
  <c r="AE207" i="4"/>
  <c r="AE92" i="4"/>
  <c r="AC375" i="4"/>
  <c r="AE375" i="4" s="1"/>
  <c r="AE147" i="4"/>
</calcChain>
</file>

<file path=xl/sharedStrings.xml><?xml version="1.0" encoding="utf-8"?>
<sst xmlns="http://schemas.openxmlformats.org/spreadsheetml/2006/main" count="500" uniqueCount="206">
  <si>
    <t>ჯამი</t>
  </si>
  <si>
    <t>ნამდვილი</t>
  </si>
  <si>
    <t>ბათილი</t>
  </si>
  <si>
    <t>მიღებული ბიულეტენი</t>
  </si>
  <si>
    <t>მონაწილე</t>
  </si>
  <si>
    <t>მონაწილე 12 სთ.</t>
  </si>
  <si>
    <t>მონაწილე 17 სთ.</t>
  </si>
  <si>
    <t>სპეციალურ სიაში ამომრჩეველთა რაოდენობა</t>
  </si>
  <si>
    <t>უბანი</t>
  </si>
  <si>
    <t xml:space="preserve">ერთიან სიაში ამომრჩეველთა რაოდენობა </t>
  </si>
  <si>
    <t>%</t>
  </si>
  <si>
    <t>სულ</t>
  </si>
  <si>
    <t>1</t>
  </si>
  <si>
    <t>2</t>
  </si>
  <si>
    <t>4</t>
  </si>
  <si>
    <t>5</t>
  </si>
  <si>
    <t>8</t>
  </si>
  <si>
    <t>9</t>
  </si>
  <si>
    <t>17</t>
  </si>
  <si>
    <t>21</t>
  </si>
  <si>
    <t>23</t>
  </si>
  <si>
    <t>24</t>
  </si>
  <si>
    <t>27</t>
  </si>
  <si>
    <t>31</t>
  </si>
  <si>
    <t>33</t>
  </si>
  <si>
    <t>38</t>
  </si>
  <si>
    <t>39</t>
  </si>
  <si>
    <t>41</t>
  </si>
  <si>
    <t>42</t>
  </si>
  <si>
    <t>43</t>
  </si>
  <si>
    <t>44</t>
  </si>
  <si>
    <t>electoral_district</t>
  </si>
  <si>
    <t>sakrebulo_majoritarian_district</t>
  </si>
  <si>
    <t>3</t>
  </si>
  <si>
    <t>ელენე გაბინაშვილი – მოძრაობა სახელმწიფო ხალხისთვის – N 1;</t>
  </si>
  <si>
    <t>აკმამედ იმამკულიევი – ევროპული საქართველო-მოძრაობა თავისუფლებისთვის – N 2;</t>
  </si>
  <si>
    <t>ბექა სვანიძე – ქრისტიან-დემოკრატიული მოძრაობა – N 4;</t>
  </si>
  <si>
    <t>აგილ მუსტაფაევი – ერთიანი ნაციონალური მოძრაობა/გაერთაინებული ოპოზიცია – N 5;</t>
  </si>
  <si>
    <t>ნინო ჯურხაძე – თავისუფალი საქართველო – N 9;</t>
  </si>
  <si>
    <t>ლეილა ხარაიშვილი – საქართველო – N 17;</t>
  </si>
  <si>
    <t>ირენა სტურუა – მოძრაობა თავისუფალი საქართველოსთვის – N 21;</t>
  </si>
  <si>
    <t>ლისა სიხარულიძე – ახალი ქრისტიან-დემოკრატები – N 23;</t>
  </si>
  <si>
    <t>ნინიკო ჩხეტია – პოლიტიკური პლატფორმა – ახალი საქართველო – N 27;</t>
  </si>
  <si>
    <t>მალხაზი გორგასლიძე – თავისუფლება – ზვიად გამსახურდიას გზა – N 31;</t>
  </si>
  <si>
    <t>ელისო ქართველიშვილი – საქართველოს ძალოვან ვეტერანთა და პატრიოტთა პოლიტიკური გაერთიანება – N 33;</t>
  </si>
  <si>
    <t>ჯანო ჟვანია – ეროვნულ-დემოკრატიული პარტია (ედპ) – N 38;</t>
  </si>
  <si>
    <t>ილია პატარაია – ქრისტიან-კონსერვატორები – N 39;</t>
  </si>
  <si>
    <t>ზაურ დარგალი – ქართული ოცნება-დემოკრატიული საქართველო – N 41;</t>
  </si>
  <si>
    <t>ალი ბადიროვი – საინიციატივო ჯგუფი – N 42.</t>
  </si>
  <si>
    <t>Name</t>
  </si>
  <si>
    <t>Elections</t>
  </si>
  <si>
    <t>District</t>
  </si>
  <si>
    <t>Mayor</t>
  </si>
  <si>
    <t>დავითი თხელიძე – მოძრაობა სახელმწიფო ხალხისთვის – N 1;</t>
  </si>
  <si>
    <t>კახაბერ კიკნაველიძე – ქრისტიან-დემოკრატიული მოძრაობა – N 4;</t>
  </si>
  <si>
    <t>ბაქარი ხიჯაკაძე – ერთიანი ნაციონალური მოძრაობა – გაერთიანებული ოპოზიცია – N 5;</t>
  </si>
  <si>
    <t>ანზორ ნებიერიძე – დავით თარხან-მოურავი, ირმა ინაშვილი – საქართველოს პატრიოტთა ალიანსი – N 8;</t>
  </si>
  <si>
    <t>გიორგი წულაია – თავისუფალი საქართველო – N 9;</t>
  </si>
  <si>
    <t>ზვიად ბოლოკაძე – მოძრაობა თავისუფალი საქართველოსთვის – N 21;</t>
  </si>
  <si>
    <t>გელა სალუქვაძე – ახალი ქრისტიან-დემოკრატები – N 23;</t>
  </si>
  <si>
    <t>ინგა კელენჯერიძე – მოძრაობა სოციალური სამართლიანობისთვის – N 24;</t>
  </si>
  <si>
    <t>კახაბერი მაჩიტიძე – პოლიტიკური პლატფორმა – ახალი საქართველო – N 27;</t>
  </si>
  <si>
    <t>მანუჩარ სართანია – თავისუფლება – ზვიად გამსახურდიას გზა – N 31;</t>
  </si>
  <si>
    <t>ნინა გოცაძე – საქართველოს ძალოვან ვეტერანთა და პატრიოტთა პოლიტიკური მოძრაობა – N 33;</t>
  </si>
  <si>
    <t>პაატა ბაკურაძე – ეროვნულ-დემოკრატიული პარტია (ედპ) – N 38;</t>
  </si>
  <si>
    <t>რევაზ სხულუხია – ქრისტიან-კონსერვატორები – N 39;</t>
  </si>
  <si>
    <t>გიორგი გოგლიჩიძე – ქართული ოცნება – დემოკრატიული საქართველო – N 41;</t>
  </si>
  <si>
    <t>ვახტანგი რობაქიძე – საინიციატივო ჯგუფი N 42;</t>
  </si>
  <si>
    <t>კახაბერ ზარნაძე – საინიციატივო ჯგუფი – N 43.</t>
  </si>
  <si>
    <t>ირაკლი დემეტრაძე – მოძრაობა სახელმწიფო ხალხისთვის – N 1;</t>
  </si>
  <si>
    <t>თეიმურაზ სამხარაძე – ქრისტიან-დემოკრატიული მოძრაობა – N 4;</t>
  </si>
  <si>
    <t>ტატო ურუშაძე – თავისუფალი საქართველო – N 9;</t>
  </si>
  <si>
    <t>გიორგი ხაჭაპურიძე – მოძრაობა – თავისუფალი საქართველოსთვის – N 21;</t>
  </si>
  <si>
    <t>მზია სამხარაძე – ახალი ქრისტიან-დემოკრატები – N 23;</t>
  </si>
  <si>
    <t>ანდრო მაღლაკელიძე – პოლიტიკური პლატფორმა – ახალი საქართველო – N 27;</t>
  </si>
  <si>
    <t>ზიტა ადამია – თავისუფლება – ზვიად გამსახურდიას გზა – N 31;</t>
  </si>
  <si>
    <t>ირინა ცერცვაძე – საქართველოს ძალოვან ვეტერანთა და პატრიოტთა პოლიტიკური მოძრაოაბა – N 33;</t>
  </si>
  <si>
    <t>ალექსანდრე კეზევაძე – ეროვნულ-დემოკრატიული პარტია (ედპ) – N 38;</t>
  </si>
  <si>
    <t>მანანა გოგიჩაძე – ქრისტიან-კოსერვატორები – N 39;</t>
  </si>
  <si>
    <t>გივი მოდებაძე – ქართული ოცნება – დემოკრტიული საქართველო – N 41;</t>
  </si>
  <si>
    <t>ზურაბ კუპატაძე – საინიციატივო ჯგუფი – N 42;</t>
  </si>
  <si>
    <t>დავით ჭუმბურიძე – საინიციატივო ჯგუფი – N 43.</t>
  </si>
  <si>
    <t>მამუკა გერმანიშვილი – მოძრაობა – სახელმწიფო ხალხისთვის – N 1;</t>
  </si>
  <si>
    <t>გოგიტა ბიგვავა – ქრისტიან-დემოკრატიული მოძრაობა – N 4;</t>
  </si>
  <si>
    <t>სანდრა ელისაბედ როლოვს – ერთიანი ნაციონალური მოძრაობა – გაერთიანებული ოპოზიცია – N 5;</t>
  </si>
  <si>
    <t>შავლეგი თოდუა – დავით თარხან-მოურავი ირმა ინაშვილი – პატრიოტთა ალიანსი – N 8;</t>
  </si>
  <si>
    <t>სოფიო კანდელაკი – თავისუფალი საქართველო – N 9;</t>
  </si>
  <si>
    <t>ლიკა ბუკია – მოძრაობა თავისუფალი საქართველოსთვის – N 21;</t>
  </si>
  <si>
    <t>დათა გაბეჩავა – ახალი ქრისტიან-დემოკრატები – N 23;</t>
  </si>
  <si>
    <t>ალექსი ნონიაძე – პოლიტიკური პლატფორმა – ახალი საქართველო – N 27;</t>
  </si>
  <si>
    <t>პაატა პირტახია – თავისუფლება – ზვიად გამსახურდიას გზა – N 31;</t>
  </si>
  <si>
    <t>მალხაზ ლეჟავა – საქართველოს ძალოვან ვეტერანთა და პატრიოტთა პოლიტიკური მოძრაობა – N 33;</t>
  </si>
  <si>
    <t>გიორგი ჩიაშვილი – ეროვნულ-დემოკრატიული მოძრაობა (ედპ) – N 38;</t>
  </si>
  <si>
    <t>ნანი ხუციძე – ქრისტიან-კონსერვატორები – N 39;</t>
  </si>
  <si>
    <t>გიორგი შენგელია – ქართული ოცნება-დემოკრატიული საქართველო – N 41;</t>
  </si>
  <si>
    <t>დომენტი სიჭინავა – საინიციატივო ჯგუფი – N 42;</t>
  </si>
  <si>
    <t>თენგიზ ჯგუშია – საინიციატივო ჯგუფი – N 43;</t>
  </si>
  <si>
    <t>დავით თორდია – საინიციატივო ჯგუფი – N 44.</t>
  </si>
  <si>
    <t>ვახტანგ ბერიძე – მოძრაობა სახელმწიფო ხალხისთვის – N 1;</t>
  </si>
  <si>
    <t>იოსებ თავართქილაძე – ქრისტიან-დემოკრატიული მოძრაობა – N 4;</t>
  </si>
  <si>
    <t>ირაკლი ჯორბენაძე – ერთიანი ნაციონალური მოძრაობა-გაერთიანებული ოპოზიცია – N 5;</t>
  </si>
  <si>
    <t>საბა ბობოხია – თავისუფალი საქართველო – N 9;</t>
  </si>
  <si>
    <t>ზურაბი ჯორბენაძე – საქართველო – N 17;</t>
  </si>
  <si>
    <t>ზურაბ ცინცაძე – მოძრაობა თავისუფალი საქართველოსთვის – N 21;</t>
  </si>
  <si>
    <t>ზურაბ ხიმშიაშვილი – მოძრაობა სოციალური სამართლიანობისთვის – N 24;</t>
  </si>
  <si>
    <t>მამუკა ქობულაძე – პოლიტიკური პლატფორმა – ახალი საქართველო – N 27;</t>
  </si>
  <si>
    <t>გია გაბეშია – თავისუფლება – ზვიად გამსახურდიას გზა – N 31;</t>
  </si>
  <si>
    <t>ირაკლი ტუნაძე – საქართველოს ძალოვან ვეტერანთა და პატრიოტთა პოლიტიკური მოძრაოაბა – N 33;</t>
  </si>
  <si>
    <t>ნუგზარ ფუტკარაძე – ეროვნულ-დემოკრატიული პარტია (ედპ) – N 38;</t>
  </si>
  <si>
    <t>ზაურ კომახიძე – ქრისტიან-კონსერვატორები – N 39;</t>
  </si>
  <si>
    <t>ვახტანგ ბერიძე – ქართული ოცნება-დემოკრატიული საქართველო – N 41.</t>
  </si>
  <si>
    <t>როლანდ აბულაძე – საინიციატივო ჯგუფი – N 42.</t>
  </si>
  <si>
    <t>Sakrebulo SMD</t>
  </si>
  <si>
    <t>11.03</t>
  </si>
  <si>
    <t>სალმან კულივი – მოძრაობა სახელმწიფო ხალხისთვის – N 1;</t>
  </si>
  <si>
    <t>ნინო ხუციშვილი – ქრისტიან-დემოკრატიული მოძრაობა – N 4;</t>
  </si>
  <si>
    <t>ირაკლი ჯინჭარაძე – ერთიანი ნაციონალური მოძრაობა – გაერთიანებული ოპოზიცია – N 5;</t>
  </si>
  <si>
    <t>გიორგი გულარიძე – თავისუფალი საქართველო – N 9;</t>
  </si>
  <si>
    <t>მაკა ხორბალაძე – მოძრაობა თავისუფალი საქართველოსთვის – N 21;</t>
  </si>
  <si>
    <t>ნიკოლოზი ჯოგლიძე – ახალი ქრისტიან-დემოკრატები – N 23;</t>
  </si>
  <si>
    <t>ნოდარ ბურკაძე – მოძრაობა სოციალური სამართლიანობისთვის – N 24;</t>
  </si>
  <si>
    <t>ალა აშვეთია – პოლიტიკური პლატფორმა ახალი საქართველო – N 27;</t>
  </si>
  <si>
    <t>ნონა კირთაძე – საქართველოს ძალოვან ვეტერანთა და პატრიოტთა პოლიტიკური მოძრაობა – N 33;</t>
  </si>
  <si>
    <t>ნუკრი ჭოლაძე – ეროვნულ-დემოკრატიული მოძრაობა (ედპ) – N 38;</t>
  </si>
  <si>
    <t>გიორგი ჯანიბეგაშვილი – ქრისტიან-კონსერვატორები – N 39;</t>
  </si>
  <si>
    <t>ზურაბ შინდელაშვილი – ქართული ოცნება-დემოკრატიული საქართველო – N 41.</t>
  </si>
  <si>
    <t>მახამად ეიბოვი – მოძრაობა სახელმწიფო ხალხისთვის – N 1;</t>
  </si>
  <si>
    <t>ანი შაიშმელაშვილი – ქრისტიან-დემოკრატიული მოძრაობა – N 4;</t>
  </si>
  <si>
    <t>ზურაბი შალოშვილი – თავისუფალი საქართველო – N 9;</t>
  </si>
  <si>
    <t>შოთა თავბერიძე – საქართველო – N 17;</t>
  </si>
  <si>
    <t>დარია ასლამაზიშვილი – მოძრაობა თავისუფალი საქართველოსთვის – N 21;</t>
  </si>
  <si>
    <t>მარინა პატიშვილი – ახალი ქრისტიან-დემოკრატები – N 23;</t>
  </si>
  <si>
    <t>ხატია ბაღიშვილი – პოლიტიკური პლატფორმა ახალი საქართველო – N 27;</t>
  </si>
  <si>
    <t>გიორგი შაიშმელაშვილი – საქართველოს ძალოვან ვეტერანთა და პატრიოტთა პოლიტიკური მოძრაობა – N 33;</t>
  </si>
  <si>
    <t>გელა ერაძე – ეროვნულ-დემოკრატიული პარტია (ედპ) – N 38;</t>
  </si>
  <si>
    <t>ლალი სურმავა – ქრისტიან-კონსერვატორები – N 39;</t>
  </si>
  <si>
    <t xml:space="preserve">როსტომ ალხანაშვილი – ქართული ოცნება-დემოკრატიული საქართველო – N 41. </t>
  </si>
  <si>
    <t>18.04</t>
  </si>
  <si>
    <t>გიორგი კოღუაშვილი – მოძრაობა სახელმწიფო ხალხისთვის – N 1;</t>
  </si>
  <si>
    <t>ზურაბ ხუციშვილი – ქრისტიან-დემოკრატიული მოძრაობა – N 4;</t>
  </si>
  <si>
    <t>მედეა სოლოდკო – მოძრაობა თავისუფალი საქართველოსთვის – N 21;</t>
  </si>
  <si>
    <t>ანიკო ბუცხრიკიძე – ახალი ქრისტიან-დემოკრატები – N 23;</t>
  </si>
  <si>
    <t>დავით ალხანაშვილი – პოლიტიკური პლატფორმა ახალი საქართველო – N 27;</t>
  </si>
  <si>
    <t>ცისანა მელიქიძე – საქართველოს ძალოვან ვეტერანთა და პატრიოტთა პოლიტიკური მოძრაობა N 33;</t>
  </si>
  <si>
    <t>დავითი ბახტაძე – ეროვნულ-დემოკრატიული პარტია (ედპ) – N 38;</t>
  </si>
  <si>
    <t>გრიგორი დარსანია – ქრისტიან-კონსერვატორები – N 39;</t>
  </si>
  <si>
    <t>გენადი ბოლქვაძე – ქართული ოცნება-დემოკრატიული საქართველო – N 41.</t>
  </si>
  <si>
    <t>38.02</t>
  </si>
  <si>
    <t>51.13</t>
  </si>
  <si>
    <t>ირაკლი გვალია – მოძრაობა სახელმწიფო ხალხისთვის – N 1;</t>
  </si>
  <si>
    <t>თამარი კასრაძე – ქრისტიან-დემოკრატიული მოძრაობა – N 4;</t>
  </si>
  <si>
    <t>გაგა ლაბაძე – ერთიანი ნაციონალური მოძრაობა – გაერთიანებული ოპოზიცი – N 5;</t>
  </si>
  <si>
    <t>ნათია ხმიადაშვილი – ახალი ქრისტიან-დემოკრატები – N 23;</t>
  </si>
  <si>
    <t>გოდერძი ჩარკვიანი – მოძრაობა სოციალური სამართლიანობისთვის – N 24;</t>
  </si>
  <si>
    <t>ანა მოსაშვილი – პოლიტიკური პლატფორმა ახალი საქართველო – N 27;</t>
  </si>
  <si>
    <t>ზაურ ქალდანი – საქართველოს ძალოვან ვეტერანთა და პატრიოტთა პოლიტიკური მოძრაობა – N 33;</t>
  </si>
  <si>
    <t>ნუგზარ ფერაძე – ქართული ოცნება-დემოკრატიული საქართველო – N 41.</t>
  </si>
  <si>
    <t>თამაზ დოღაძე – ქრისტიან-დემოკრატიული მოძრაობა – N 4;</t>
  </si>
  <si>
    <t>ილიკო ჩიკვილაძე – ერთიანი ნაციონალური მოძრაობა – გაერთიანებული ოპოზიცია – N 5;</t>
  </si>
  <si>
    <t>ვახტანგი გაფრინდაშვილი – ახალი ქრისტიან-დემოკრატები – N 23;</t>
  </si>
  <si>
    <t>გიორგი მარდალეიშვილი – პოლიტიკური პლატფორმა – ახალი საქართველო – N 27;</t>
  </si>
  <si>
    <t>ლიანა ქარელიძე – საქართველოს ძალოვან ვეტერანთა და პატრიოტთა პოლიტიკური მოძრაობა – N 33;</t>
  </si>
  <si>
    <t>თეიმურაზ ჭუმბურიძე – ქართული ოცნება-დემოკრატიული საქართველო – N 41;</t>
  </si>
  <si>
    <t>ნოდარ ჩაჩანიძე – საინიციატივო ჯგუფი – N 44.</t>
  </si>
  <si>
    <t>56.01</t>
  </si>
  <si>
    <t>ამირან ცარციძე – მოძრაობა სახელმწიფო ხალხისთვის – N 1;</t>
  </si>
  <si>
    <t>ზურაბ ჭიქაბერიძე – ქრისტიან-დემოკრატიული მოძრაობა – N 4;</t>
  </si>
  <si>
    <t>დავითი ლომიძე – ერთიანი ნაციონალური მოძრაობა – გაერთიანებული ოპოზიცია – N 5;</t>
  </si>
  <si>
    <t>თორნიკე მუმლაძე – თავისუფალი საქართველო – N 9;</t>
  </si>
  <si>
    <t>გიორგი სიდამონიძე – მოძრაობა თავისუფალი საქართველოსთვის – N 21;</t>
  </si>
  <si>
    <t>მარიამ სიხარულიძე – ახალი ქრისტიან-დემოკრატები – N 23;</t>
  </si>
  <si>
    <t>მერაბი ყიფიანი – მოძრაობა სოციალური სამართლიანობისთვის – N 24;</t>
  </si>
  <si>
    <t>მარიამი ბაღდავაძე – პოლიტიკური პლატფორმა ახალი საქართველო – N 27;</t>
  </si>
  <si>
    <t>ლალი ჩხიკვაძე – საქართველოს ძალოვან ვეტერანთა და პატრიოტთა პოლიტიკური მოძრაობა – N 33;</t>
  </si>
  <si>
    <t>მირიან დეისაძე – ეროვნულ-დემოკრატიული პარტია (ედპ) – N 38;</t>
  </si>
  <si>
    <t>ქეთევან გომართელი – ქრისტიან-კონსერვატორები – N 39;</t>
  </si>
  <si>
    <t>რომან მაწკეპლაძე – ქართული ოცნება-დემოკრატიული საქართველო – N 41.</t>
  </si>
  <si>
    <t>ავთანდილ ბრეგაძე – საინიციატივო ჯგუფი – N 43.</t>
  </si>
  <si>
    <t>58.01</t>
  </si>
  <si>
    <t>სოფიკო ხარაბაძე – მოძრაობა სახელმწიფო ხალხისთვის – N 1;</t>
  </si>
  <si>
    <t>ზაურ ქაშიბაძე – ევროპული საქართველო-მოძრაობა თავისუფლებისთვის – N 2;</t>
  </si>
  <si>
    <t>ნიკა გაბუნია – ქრისტიან-დემოკრატიული მოძრაობა – N 4;</t>
  </si>
  <si>
    <t>მაკარი გელაშვილი – თავისუფალი საქართველო – N 9;</t>
  </si>
  <si>
    <t>ვახტანგ ძიძიგური – მოძრაობა თავისუფალი საქართველოსთვის – N 21;</t>
  </si>
  <si>
    <t>დანიელ ჩხიკვაძე – ახალი ქრისტიან-დემოკრატები – N 23;</t>
  </si>
  <si>
    <t>ამირან უგულავა – მოძრაობა სოციალური სამართლიანობისთვის – N 24;</t>
  </si>
  <si>
    <t>თეონა შერგელაშვილი – პოლიტიკური პლატფორმა – ახალი საქართველო – N 27;</t>
  </si>
  <si>
    <t>ნინო გაგნიძე – საქართველოს ძალოვან ვეტერანთა და პატრიოტთა პოლიტიკური პარტია – N 33;</t>
  </si>
  <si>
    <t>აკაკი კილასონია – ეროვნულ-დემოკრატიული პარტია (ედპ) – N 38;</t>
  </si>
  <si>
    <t>ბესარიონ არველაძე – ქრისტიან-კონსერვატორები – N 39;</t>
  </si>
  <si>
    <t>ომარ სინაურიძე – ქართული ოცნება – დემოკრატიული საქართველო – N 41.</t>
  </si>
  <si>
    <t>59.04</t>
  </si>
  <si>
    <t>60.01</t>
  </si>
  <si>
    <t>ინგა სიდამონიძე – მოძრაობა სახელმწიფო ხალხისთვის – N 1;</t>
  </si>
  <si>
    <t>იაკობ ზაქარეიშვილი – ევროპული საქართველო – მოძრაობა თავისუფლებისთვის – N 2;</t>
  </si>
  <si>
    <t>ბესიკ ხმიადაშვილი – ქრისტიან-დემოკრატიული მოძრაობა – N 4;</t>
  </si>
  <si>
    <t>მარიამ მაჩაბერიძე – თავისუფალი საქართველო – N 9;</t>
  </si>
  <si>
    <t>დოდო სიხარულიძე – მოძრაობა თავისუფალი საქართველოსთვის – N 21;</t>
  </si>
  <si>
    <t>გიორგი მინდილაია – ახალი ქრისტიან-დემოკრატები – N 23;</t>
  </si>
  <si>
    <t>გოგა არაბიძე – პოლიტიკური პლატფორმა – ახალი საქართველო – N 27;</t>
  </si>
  <si>
    <t>ნაირა ჯავახიშვილი – საქართველოს ძალოვან ვეტერანთა და პატრიოტთა პოლიტიკური მოძრაობა – N 33;</t>
  </si>
  <si>
    <t>თამარ ჩიტაია – ეროვნულ-დემოკრატიული პარტია (ედპ) – N 28;</t>
  </si>
  <si>
    <t>ლევანი ობოლაძე – ქრისტიან-კონსერვატორები – N 39;</t>
  </si>
  <si>
    <t>დავით მდინარაძე – ქართული ოცნება-დემოკრატიული საქართველო – N 41;</t>
  </si>
  <si>
    <t>ტოგო ჭელიძე – საინიციატივო ჯგუფი – N 42;</t>
  </si>
  <si>
    <t>კაკო თავდუმაძე – საინიციატივო ჯგუფი – N 43.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</si>
</sst>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9"/>
      <color theme="1"/>
      <name val="Sylfaen"/>
      <family val="1"/>
    </font>
    <font>
      <b/>
      <sz val="8"/>
      <color theme="1"/>
      <name val="Sylfaen"/>
      <family val="1"/>
    </font>
    <font>
      <sz val="11"/>
      <name val="Sylfaen"/>
      <family val="1"/>
    </font>
    <font>
      <b/>
      <sz val="11"/>
      <name val="Sylfae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4" borderId="1" xfId="0" applyFont="1" applyFill="1" applyBorder="1" applyAlignment="1">
      <alignment horizontal="left"/>
    </xf>
    <xf numFmtId="2" fontId="4" fillId="2" borderId="1" xfId="0" applyNumberFormat="1" applyFont="1" applyFill="1" applyBorder="1"/>
    <xf numFmtId="49" fontId="3" fillId="0" borderId="1" xfId="0" applyNumberFormat="1" applyFont="1" applyBorder="1" applyAlignment="1">
      <alignment horizontal="right"/>
    </xf>
    <xf numFmtId="49" fontId="4" fillId="4" borderId="1" xfId="0" applyNumberFormat="1" applyFont="1" applyFill="1" applyBorder="1" applyAlignment="1">
      <alignment horizontal="right"/>
    </xf>
    <xf numFmtId="0" fontId="7" fillId="0" borderId="1" xfId="0" applyFont="1" applyBorder="1"/>
    <xf numFmtId="10" fontId="3" fillId="0" borderId="1" xfId="1" applyNumberFormat="1" applyFont="1" applyBorder="1"/>
    <xf numFmtId="0" fontId="2" fillId="3" borderId="0" xfId="0" applyFont="1" applyFill="1" applyAlignment="1">
      <alignment horizontal="center" vertical="center" wrapText="1"/>
    </xf>
    <xf numFmtId="0" fontId="4" fillId="3" borderId="1" xfId="0" applyFont="1" applyFill="1" applyBorder="1"/>
    <xf numFmtId="10" fontId="4" fillId="3" borderId="1" xfId="1" applyNumberFormat="1" applyFont="1" applyFill="1" applyBorder="1"/>
    <xf numFmtId="10" fontId="4" fillId="4" borderId="1" xfId="1" applyNumberFormat="1" applyFont="1" applyFill="1" applyBorder="1"/>
    <xf numFmtId="10" fontId="3" fillId="4" borderId="1" xfId="1" applyNumberFormat="1" applyFont="1" applyFill="1" applyBorder="1"/>
    <xf numFmtId="0" fontId="8" fillId="4" borderId="1" xfId="0" applyFont="1" applyFill="1" applyBorder="1"/>
    <xf numFmtId="10" fontId="8" fillId="4" borderId="1" xfId="1" applyNumberFormat="1" applyFont="1" applyFill="1" applyBorder="1"/>
    <xf numFmtId="10" fontId="3" fillId="0" borderId="1" xfId="1" applyNumberFormat="1" applyFont="1" applyFill="1" applyBorder="1"/>
    <xf numFmtId="0" fontId="2" fillId="3" borderId="1" xfId="0" quotePrefix="1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75"/>
  <sheetViews>
    <sheetView showZeros="0" workbookViewId="0">
      <pane xSplit="2" ySplit="1" topLeftCell="C130" activePane="bottomRight" state="frozen"/>
      <selection pane="topRight" activeCell="D1" sqref="D1"/>
      <selection pane="bottomLeft" activeCell="A2" sqref="A2"/>
      <selection pane="bottomRight" activeCell="O375" sqref="O375"/>
    </sheetView>
  </sheetViews>
  <sheetFormatPr defaultColWidth="9.07421875" defaultRowHeight="15.9" x14ac:dyDescent="0.5"/>
  <cols>
    <col min="1" max="2" width="9.07421875" style="4"/>
    <col min="3" max="3" width="14.69140625" style="4" customWidth="1"/>
    <col min="4" max="4" width="14.4609375" style="4" customWidth="1"/>
    <col min="5" max="5" width="13.3046875" style="4" customWidth="1"/>
    <col min="6" max="6" width="11.53515625" style="4" customWidth="1"/>
    <col min="7" max="7" width="14.07421875" style="4" customWidth="1"/>
    <col min="8" max="8" width="9.07421875" style="4" bestFit="1" customWidth="1"/>
    <col min="9" max="9" width="14.53515625" style="4" customWidth="1"/>
    <col min="10" max="10" width="7.84375" style="4" bestFit="1" customWidth="1"/>
    <col min="11" max="28" width="9.07421875" style="4"/>
    <col min="29" max="29" width="11.3046875" style="4" bestFit="1" customWidth="1"/>
    <col min="30" max="30" width="9.07421875" style="4"/>
    <col min="31" max="31" width="8" style="4" bestFit="1" customWidth="1"/>
    <col min="32" max="16384" width="9.07421875" style="4"/>
  </cols>
  <sheetData>
    <row r="1" spans="1:31" s="2" customFormat="1" ht="33.450000000000003" x14ac:dyDescent="0.4">
      <c r="A1" s="27" t="s">
        <v>31</v>
      </c>
      <c r="B1" s="1" t="s">
        <v>8</v>
      </c>
      <c r="C1" s="7" t="s">
        <v>9</v>
      </c>
      <c r="D1" s="7" t="s">
        <v>7</v>
      </c>
      <c r="E1" s="1" t="s">
        <v>5</v>
      </c>
      <c r="F1" s="1" t="s">
        <v>6</v>
      </c>
      <c r="G1" s="1" t="s">
        <v>4</v>
      </c>
      <c r="H1" s="1" t="s">
        <v>10</v>
      </c>
      <c r="I1" s="1" t="s">
        <v>3</v>
      </c>
      <c r="J1" s="25" t="s">
        <v>12</v>
      </c>
      <c r="K1" s="25" t="s">
        <v>13</v>
      </c>
      <c r="L1" s="25" t="s">
        <v>14</v>
      </c>
      <c r="M1" s="25" t="s">
        <v>15</v>
      </c>
      <c r="N1" s="25" t="s">
        <v>16</v>
      </c>
      <c r="O1" s="25" t="s">
        <v>17</v>
      </c>
      <c r="P1" s="25" t="s">
        <v>18</v>
      </c>
      <c r="Q1" s="25" t="s">
        <v>19</v>
      </c>
      <c r="R1" s="25" t="s">
        <v>20</v>
      </c>
      <c r="S1" s="25" t="s">
        <v>21</v>
      </c>
      <c r="T1" s="25" t="s">
        <v>22</v>
      </c>
      <c r="U1" s="25" t="s">
        <v>23</v>
      </c>
      <c r="V1" s="25" t="s">
        <v>24</v>
      </c>
      <c r="W1" s="25" t="s">
        <v>25</v>
      </c>
      <c r="X1" s="25" t="s">
        <v>26</v>
      </c>
      <c r="Y1" s="25" t="s">
        <v>27</v>
      </c>
      <c r="Z1" s="25" t="s">
        <v>28</v>
      </c>
      <c r="AA1" s="25" t="s">
        <v>29</v>
      </c>
      <c r="AB1" s="25" t="s">
        <v>30</v>
      </c>
      <c r="AC1" s="1" t="s">
        <v>1</v>
      </c>
      <c r="AD1" s="1" t="s">
        <v>2</v>
      </c>
      <c r="AE1" s="17" t="s">
        <v>10</v>
      </c>
    </row>
    <row r="2" spans="1:31" x14ac:dyDescent="0.5">
      <c r="A2" s="3">
        <v>22</v>
      </c>
      <c r="B2" s="3">
        <v>1</v>
      </c>
      <c r="C2" s="3">
        <v>1503</v>
      </c>
      <c r="D2" s="3">
        <v>5</v>
      </c>
      <c r="E2" s="3">
        <v>122</v>
      </c>
      <c r="F2" s="3">
        <v>270</v>
      </c>
      <c r="G2" s="3">
        <v>342</v>
      </c>
      <c r="H2" s="16">
        <f>G2/C2</f>
        <v>0.22754491017964071</v>
      </c>
      <c r="I2" s="3">
        <v>1250</v>
      </c>
      <c r="J2" s="3">
        <v>2</v>
      </c>
      <c r="K2" s="3">
        <v>32</v>
      </c>
      <c r="L2" s="3">
        <v>1</v>
      </c>
      <c r="M2" s="3">
        <v>25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1</v>
      </c>
      <c r="W2" s="3">
        <v>0</v>
      </c>
      <c r="X2" s="3">
        <v>0</v>
      </c>
      <c r="Y2" s="3">
        <v>273</v>
      </c>
      <c r="Z2" s="3">
        <v>1</v>
      </c>
      <c r="AA2" s="3">
        <v>0</v>
      </c>
      <c r="AB2" s="3">
        <v>0</v>
      </c>
      <c r="AC2" s="3">
        <f>SUM(J2:AB2)</f>
        <v>335</v>
      </c>
      <c r="AD2" s="3">
        <v>7</v>
      </c>
      <c r="AE2" s="16">
        <f>AD2/(AC2+AD2)</f>
        <v>2.046783625730994E-2</v>
      </c>
    </row>
    <row r="3" spans="1:31" x14ac:dyDescent="0.5">
      <c r="A3" s="3">
        <v>22</v>
      </c>
      <c r="B3" s="3">
        <v>2</v>
      </c>
      <c r="C3" s="3">
        <v>1443</v>
      </c>
      <c r="D3" s="3">
        <v>5</v>
      </c>
      <c r="E3" s="3">
        <v>146</v>
      </c>
      <c r="F3" s="3">
        <v>243</v>
      </c>
      <c r="G3" s="15">
        <v>400</v>
      </c>
      <c r="H3" s="16">
        <f t="shared" ref="H3:H66" si="0">G3/C3</f>
        <v>0.27720027720027718</v>
      </c>
      <c r="I3" s="3">
        <v>1250</v>
      </c>
      <c r="J3" s="3">
        <v>0</v>
      </c>
      <c r="K3" s="3">
        <v>27</v>
      </c>
      <c r="L3" s="3">
        <v>2</v>
      </c>
      <c r="M3" s="3">
        <v>43</v>
      </c>
      <c r="N3" s="3">
        <v>0</v>
      </c>
      <c r="O3" s="3">
        <v>0</v>
      </c>
      <c r="P3" s="3">
        <v>0</v>
      </c>
      <c r="Q3" s="3">
        <v>1</v>
      </c>
      <c r="R3" s="3">
        <v>0</v>
      </c>
      <c r="S3" s="3">
        <v>0</v>
      </c>
      <c r="T3" s="3">
        <v>0</v>
      </c>
      <c r="U3" s="3">
        <v>1</v>
      </c>
      <c r="V3" s="3">
        <v>0</v>
      </c>
      <c r="W3" s="3">
        <v>0</v>
      </c>
      <c r="X3" s="3">
        <v>0</v>
      </c>
      <c r="Y3" s="3">
        <v>313</v>
      </c>
      <c r="Z3" s="3">
        <v>3</v>
      </c>
      <c r="AA3" s="3">
        <v>0</v>
      </c>
      <c r="AB3" s="3">
        <v>0</v>
      </c>
      <c r="AC3" s="3">
        <f t="shared" ref="AC3:AC66" si="1">SUM(J3:AB3)</f>
        <v>390</v>
      </c>
      <c r="AD3" s="3">
        <v>10</v>
      </c>
      <c r="AE3" s="16">
        <f t="shared" ref="AE3:AE66" si="2">AD3/(AC3+AD3)</f>
        <v>2.5000000000000001E-2</v>
      </c>
    </row>
    <row r="4" spans="1:31" x14ac:dyDescent="0.5">
      <c r="A4" s="3">
        <v>22</v>
      </c>
      <c r="B4" s="3">
        <v>3</v>
      </c>
      <c r="C4" s="3">
        <v>1354</v>
      </c>
      <c r="D4" s="3">
        <v>7</v>
      </c>
      <c r="E4" s="3">
        <v>126</v>
      </c>
      <c r="F4" s="3">
        <v>362</v>
      </c>
      <c r="G4" s="3">
        <v>682</v>
      </c>
      <c r="H4" s="16">
        <f t="shared" si="0"/>
        <v>0.50369276218611525</v>
      </c>
      <c r="I4" s="3">
        <v>1150</v>
      </c>
      <c r="J4" s="3">
        <v>2</v>
      </c>
      <c r="K4" s="3">
        <v>44</v>
      </c>
      <c r="L4" s="3">
        <v>0</v>
      </c>
      <c r="M4" s="3">
        <v>27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>
        <v>0</v>
      </c>
      <c r="W4" s="3">
        <v>0</v>
      </c>
      <c r="X4" s="3">
        <v>0</v>
      </c>
      <c r="Y4" s="3">
        <v>596</v>
      </c>
      <c r="Z4" s="3">
        <v>5</v>
      </c>
      <c r="AA4" s="3">
        <v>0</v>
      </c>
      <c r="AB4" s="3">
        <v>0</v>
      </c>
      <c r="AC4" s="3">
        <f t="shared" si="1"/>
        <v>675</v>
      </c>
      <c r="AD4" s="3">
        <v>7</v>
      </c>
      <c r="AE4" s="16">
        <f t="shared" si="2"/>
        <v>1.0263929618768328E-2</v>
      </c>
    </row>
    <row r="5" spans="1:31" x14ac:dyDescent="0.5">
      <c r="A5" s="3">
        <v>22</v>
      </c>
      <c r="B5" s="3">
        <v>4</v>
      </c>
      <c r="C5" s="3">
        <v>1258</v>
      </c>
      <c r="D5" s="3">
        <v>3</v>
      </c>
      <c r="E5" s="3">
        <v>109</v>
      </c>
      <c r="F5" s="3">
        <v>225</v>
      </c>
      <c r="G5" s="3">
        <v>323</v>
      </c>
      <c r="H5" s="16">
        <f t="shared" si="0"/>
        <v>0.25675675675675674</v>
      </c>
      <c r="I5" s="3">
        <v>1050</v>
      </c>
      <c r="J5" s="3">
        <v>2</v>
      </c>
      <c r="K5" s="3">
        <v>17</v>
      </c>
      <c r="L5" s="3">
        <v>0</v>
      </c>
      <c r="M5" s="3">
        <v>11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1</v>
      </c>
      <c r="W5" s="3">
        <v>0</v>
      </c>
      <c r="X5" s="3">
        <v>2</v>
      </c>
      <c r="Y5" s="3">
        <v>281</v>
      </c>
      <c r="Z5" s="3">
        <v>2</v>
      </c>
      <c r="AA5" s="3">
        <v>0</v>
      </c>
      <c r="AB5" s="3">
        <v>0</v>
      </c>
      <c r="AC5" s="3">
        <f t="shared" si="1"/>
        <v>317</v>
      </c>
      <c r="AD5" s="3">
        <v>6</v>
      </c>
      <c r="AE5" s="16">
        <f t="shared" si="2"/>
        <v>1.8575851393188854E-2</v>
      </c>
    </row>
    <row r="6" spans="1:31" x14ac:dyDescent="0.5">
      <c r="A6" s="3">
        <v>22</v>
      </c>
      <c r="B6" s="3">
        <v>5</v>
      </c>
      <c r="C6" s="3">
        <v>1387</v>
      </c>
      <c r="D6" s="3">
        <v>7</v>
      </c>
      <c r="E6" s="3">
        <v>132</v>
      </c>
      <c r="F6" s="3">
        <v>360</v>
      </c>
      <c r="G6" s="3">
        <v>507</v>
      </c>
      <c r="H6" s="16">
        <f t="shared" si="0"/>
        <v>0.36553713049747655</v>
      </c>
      <c r="I6" s="3">
        <v>1200</v>
      </c>
      <c r="J6" s="3">
        <v>4</v>
      </c>
      <c r="K6" s="3">
        <v>35</v>
      </c>
      <c r="L6" s="3">
        <v>0</v>
      </c>
      <c r="M6" s="3">
        <v>25</v>
      </c>
      <c r="N6" s="3">
        <v>0</v>
      </c>
      <c r="O6" s="3">
        <v>2</v>
      </c>
      <c r="P6" s="3">
        <v>0</v>
      </c>
      <c r="Q6" s="3">
        <v>0</v>
      </c>
      <c r="R6" s="3">
        <v>0</v>
      </c>
      <c r="S6" s="3">
        <v>0</v>
      </c>
      <c r="T6" s="3">
        <v>1</v>
      </c>
      <c r="U6" s="3">
        <v>0</v>
      </c>
      <c r="V6" s="3">
        <v>0</v>
      </c>
      <c r="W6" s="3">
        <v>0</v>
      </c>
      <c r="X6" s="3">
        <v>2</v>
      </c>
      <c r="Y6" s="3">
        <v>430</v>
      </c>
      <c r="Z6" s="3">
        <v>1</v>
      </c>
      <c r="AA6" s="3">
        <v>0</v>
      </c>
      <c r="AB6" s="3">
        <v>0</v>
      </c>
      <c r="AC6" s="3">
        <f t="shared" si="1"/>
        <v>500</v>
      </c>
      <c r="AD6" s="3">
        <v>7</v>
      </c>
      <c r="AE6" s="16">
        <f t="shared" si="2"/>
        <v>1.3806706114398421E-2</v>
      </c>
    </row>
    <row r="7" spans="1:31" x14ac:dyDescent="0.5">
      <c r="A7" s="3">
        <v>22</v>
      </c>
      <c r="B7" s="3">
        <v>6</v>
      </c>
      <c r="C7" s="3">
        <v>1054</v>
      </c>
      <c r="D7" s="3">
        <v>8</v>
      </c>
      <c r="E7" s="3">
        <v>98</v>
      </c>
      <c r="F7" s="3">
        <v>211</v>
      </c>
      <c r="G7" s="3">
        <v>300</v>
      </c>
      <c r="H7" s="16">
        <f t="shared" si="0"/>
        <v>0.28462998102466791</v>
      </c>
      <c r="I7" s="3">
        <v>900</v>
      </c>
      <c r="J7" s="3">
        <v>2</v>
      </c>
      <c r="K7" s="3">
        <v>3</v>
      </c>
      <c r="L7" s="3">
        <v>0</v>
      </c>
      <c r="M7" s="15">
        <v>13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276</v>
      </c>
      <c r="Z7" s="3">
        <v>5</v>
      </c>
      <c r="AA7" s="3">
        <v>0</v>
      </c>
      <c r="AB7" s="3">
        <v>0</v>
      </c>
      <c r="AC7" s="3">
        <f t="shared" si="1"/>
        <v>300</v>
      </c>
      <c r="AD7" s="3">
        <v>0</v>
      </c>
      <c r="AE7" s="16">
        <f t="shared" si="2"/>
        <v>0</v>
      </c>
    </row>
    <row r="8" spans="1:31" x14ac:dyDescent="0.5">
      <c r="A8" s="3">
        <v>22</v>
      </c>
      <c r="B8" s="3">
        <v>7</v>
      </c>
      <c r="C8" s="3">
        <v>1296</v>
      </c>
      <c r="D8" s="3">
        <v>7</v>
      </c>
      <c r="E8" s="3">
        <v>174</v>
      </c>
      <c r="F8" s="3">
        <v>358</v>
      </c>
      <c r="G8" s="3">
        <v>430</v>
      </c>
      <c r="H8" s="16">
        <f t="shared" si="0"/>
        <v>0.3317901234567901</v>
      </c>
      <c r="I8" s="3">
        <v>1100</v>
      </c>
      <c r="J8" s="3">
        <v>0</v>
      </c>
      <c r="K8" s="3">
        <v>14</v>
      </c>
      <c r="L8" s="3">
        <v>0</v>
      </c>
      <c r="M8" s="3">
        <v>34</v>
      </c>
      <c r="N8" s="3">
        <v>0</v>
      </c>
      <c r="O8" s="3">
        <v>0</v>
      </c>
      <c r="P8" s="3">
        <v>0</v>
      </c>
      <c r="Q8" s="3">
        <v>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370</v>
      </c>
      <c r="Z8" s="3">
        <v>2</v>
      </c>
      <c r="AA8" s="3">
        <v>0</v>
      </c>
      <c r="AB8" s="3">
        <v>0</v>
      </c>
      <c r="AC8" s="3">
        <f t="shared" si="1"/>
        <v>421</v>
      </c>
      <c r="AD8" s="3">
        <v>5</v>
      </c>
      <c r="AE8" s="16">
        <f t="shared" si="2"/>
        <v>1.1737089201877934E-2</v>
      </c>
    </row>
    <row r="9" spans="1:31" x14ac:dyDescent="0.5">
      <c r="A9" s="3">
        <v>22</v>
      </c>
      <c r="B9" s="3">
        <v>8</v>
      </c>
      <c r="C9" s="3">
        <v>837</v>
      </c>
      <c r="D9" s="3">
        <v>6</v>
      </c>
      <c r="E9" s="3">
        <v>125</v>
      </c>
      <c r="F9" s="3">
        <v>213</v>
      </c>
      <c r="G9" s="3">
        <v>328</v>
      </c>
      <c r="H9" s="16">
        <f t="shared" si="0"/>
        <v>0.39187574671445641</v>
      </c>
      <c r="I9" s="3">
        <v>700</v>
      </c>
      <c r="J9" s="3">
        <v>0</v>
      </c>
      <c r="K9" s="3">
        <v>2</v>
      </c>
      <c r="L9" s="3">
        <v>0</v>
      </c>
      <c r="M9" s="3">
        <v>18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296</v>
      </c>
      <c r="Z9" s="3">
        <v>2</v>
      </c>
      <c r="AA9" s="3">
        <v>0</v>
      </c>
      <c r="AB9" s="3">
        <v>0</v>
      </c>
      <c r="AC9" s="3">
        <f t="shared" si="1"/>
        <v>319</v>
      </c>
      <c r="AD9" s="3">
        <v>9</v>
      </c>
      <c r="AE9" s="16">
        <f t="shared" si="2"/>
        <v>2.7439024390243903E-2</v>
      </c>
    </row>
    <row r="10" spans="1:31" x14ac:dyDescent="0.5">
      <c r="A10" s="3">
        <v>22</v>
      </c>
      <c r="B10" s="3">
        <v>9</v>
      </c>
      <c r="C10" s="3">
        <v>1139</v>
      </c>
      <c r="D10" s="3">
        <v>3</v>
      </c>
      <c r="E10" s="3">
        <v>172</v>
      </c>
      <c r="F10" s="3">
        <v>314</v>
      </c>
      <c r="G10" s="3">
        <v>327</v>
      </c>
      <c r="H10" s="16">
        <f t="shared" si="0"/>
        <v>0.28709394205443373</v>
      </c>
      <c r="I10" s="3">
        <v>950</v>
      </c>
      <c r="J10" s="3">
        <v>2</v>
      </c>
      <c r="K10" s="3">
        <v>5</v>
      </c>
      <c r="L10" s="3">
        <v>1</v>
      </c>
      <c r="M10" s="3">
        <v>29</v>
      </c>
      <c r="N10" s="3">
        <v>0</v>
      </c>
      <c r="O10" s="3">
        <v>0</v>
      </c>
      <c r="P10" s="3">
        <v>0</v>
      </c>
      <c r="Q10" s="3">
        <v>1</v>
      </c>
      <c r="R10" s="3">
        <v>0</v>
      </c>
      <c r="S10" s="3">
        <v>0</v>
      </c>
      <c r="T10" s="3">
        <v>0</v>
      </c>
      <c r="U10" s="3">
        <v>1</v>
      </c>
      <c r="V10" s="3">
        <v>0</v>
      </c>
      <c r="W10" s="3">
        <v>0</v>
      </c>
      <c r="X10" s="3">
        <v>1</v>
      </c>
      <c r="Y10" s="3">
        <v>275</v>
      </c>
      <c r="Z10" s="3">
        <v>1</v>
      </c>
      <c r="AA10" s="3">
        <v>0</v>
      </c>
      <c r="AB10" s="3">
        <v>0</v>
      </c>
      <c r="AC10" s="3">
        <f t="shared" si="1"/>
        <v>316</v>
      </c>
      <c r="AD10" s="3">
        <v>11</v>
      </c>
      <c r="AE10" s="16">
        <f t="shared" si="2"/>
        <v>3.3639143730886847E-2</v>
      </c>
    </row>
    <row r="11" spans="1:31" x14ac:dyDescent="0.5">
      <c r="A11" s="3">
        <v>22</v>
      </c>
      <c r="B11" s="3">
        <v>10</v>
      </c>
      <c r="C11" s="3">
        <v>1508</v>
      </c>
      <c r="D11" s="3">
        <v>3</v>
      </c>
      <c r="E11" s="3">
        <v>181</v>
      </c>
      <c r="F11" s="3">
        <v>334</v>
      </c>
      <c r="G11" s="3">
        <v>427</v>
      </c>
      <c r="H11" s="16">
        <f t="shared" si="0"/>
        <v>0.28315649867374004</v>
      </c>
      <c r="I11" s="3">
        <v>1350</v>
      </c>
      <c r="J11" s="3">
        <v>0</v>
      </c>
      <c r="K11" s="3">
        <v>9</v>
      </c>
      <c r="L11" s="3">
        <v>0</v>
      </c>
      <c r="M11" s="3">
        <v>120</v>
      </c>
      <c r="N11" s="3">
        <v>0</v>
      </c>
      <c r="O11" s="3">
        <v>4</v>
      </c>
      <c r="P11" s="3">
        <v>0</v>
      </c>
      <c r="Q11" s="3">
        <v>1</v>
      </c>
      <c r="R11" s="3">
        <v>0</v>
      </c>
      <c r="S11" s="3">
        <v>0</v>
      </c>
      <c r="T11" s="3">
        <v>1</v>
      </c>
      <c r="U11" s="3">
        <v>0</v>
      </c>
      <c r="V11" s="3">
        <v>0</v>
      </c>
      <c r="W11" s="3">
        <v>0</v>
      </c>
      <c r="X11" s="3">
        <v>1</v>
      </c>
      <c r="Y11" s="3">
        <v>287</v>
      </c>
      <c r="Z11" s="3">
        <v>1</v>
      </c>
      <c r="AA11" s="3">
        <v>0</v>
      </c>
      <c r="AB11" s="3">
        <v>0</v>
      </c>
      <c r="AC11" s="3">
        <f t="shared" si="1"/>
        <v>424</v>
      </c>
      <c r="AD11" s="3">
        <v>2</v>
      </c>
      <c r="AE11" s="16">
        <f t="shared" si="2"/>
        <v>4.6948356807511738E-3</v>
      </c>
    </row>
    <row r="12" spans="1:31" x14ac:dyDescent="0.5">
      <c r="A12" s="3">
        <v>22</v>
      </c>
      <c r="B12" s="3">
        <v>11</v>
      </c>
      <c r="C12" s="3">
        <v>1590</v>
      </c>
      <c r="D12" s="3">
        <v>4</v>
      </c>
      <c r="E12" s="3">
        <v>186</v>
      </c>
      <c r="F12" s="3">
        <v>360</v>
      </c>
      <c r="G12" s="3">
        <v>470</v>
      </c>
      <c r="H12" s="16">
        <f t="shared" si="0"/>
        <v>0.29559748427672955</v>
      </c>
      <c r="I12" s="3">
        <v>1450</v>
      </c>
      <c r="J12" s="3">
        <v>0</v>
      </c>
      <c r="K12" s="3">
        <v>17</v>
      </c>
      <c r="L12" s="3">
        <v>0</v>
      </c>
      <c r="M12" s="3">
        <v>85</v>
      </c>
      <c r="N12" s="3">
        <v>0</v>
      </c>
      <c r="O12" s="3">
        <v>0</v>
      </c>
      <c r="P12" s="3">
        <v>1</v>
      </c>
      <c r="Q12" s="3">
        <v>2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</v>
      </c>
      <c r="X12" s="3">
        <v>1</v>
      </c>
      <c r="Y12" s="3">
        <v>352</v>
      </c>
      <c r="Z12" s="3">
        <v>4</v>
      </c>
      <c r="AA12" s="3">
        <v>0</v>
      </c>
      <c r="AB12" s="3">
        <v>0</v>
      </c>
      <c r="AC12" s="3">
        <f t="shared" si="1"/>
        <v>463</v>
      </c>
      <c r="AD12" s="3">
        <v>7</v>
      </c>
      <c r="AE12" s="16">
        <f t="shared" si="2"/>
        <v>1.4893617021276596E-2</v>
      </c>
    </row>
    <row r="13" spans="1:31" x14ac:dyDescent="0.5">
      <c r="A13" s="3">
        <v>22</v>
      </c>
      <c r="B13" s="3">
        <v>12</v>
      </c>
      <c r="C13" s="3">
        <v>1237</v>
      </c>
      <c r="D13" s="3">
        <v>2</v>
      </c>
      <c r="E13" s="3">
        <v>90</v>
      </c>
      <c r="F13" s="3">
        <v>221</v>
      </c>
      <c r="G13" s="3">
        <v>286</v>
      </c>
      <c r="H13" s="16">
        <f t="shared" si="0"/>
        <v>0.23120452708164915</v>
      </c>
      <c r="I13" s="3">
        <v>1100</v>
      </c>
      <c r="J13" s="3">
        <v>0</v>
      </c>
      <c r="K13" s="3">
        <v>8</v>
      </c>
      <c r="L13" s="3">
        <v>0</v>
      </c>
      <c r="M13" s="3">
        <v>49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</v>
      </c>
      <c r="Y13" s="3">
        <v>223</v>
      </c>
      <c r="Z13" s="3">
        <v>0</v>
      </c>
      <c r="AA13" s="3">
        <v>0</v>
      </c>
      <c r="AB13" s="3">
        <v>0</v>
      </c>
      <c r="AC13" s="3">
        <f t="shared" si="1"/>
        <v>281</v>
      </c>
      <c r="AD13" s="3">
        <v>4</v>
      </c>
      <c r="AE13" s="16">
        <f t="shared" si="2"/>
        <v>1.4035087719298246E-2</v>
      </c>
    </row>
    <row r="14" spans="1:31" x14ac:dyDescent="0.5">
      <c r="A14" s="3">
        <v>22</v>
      </c>
      <c r="B14" s="3">
        <v>13</v>
      </c>
      <c r="C14" s="3">
        <v>1686</v>
      </c>
      <c r="D14" s="3">
        <v>1</v>
      </c>
      <c r="E14" s="3">
        <v>284</v>
      </c>
      <c r="F14" s="3">
        <v>480</v>
      </c>
      <c r="G14" s="3">
        <v>612</v>
      </c>
      <c r="H14" s="16">
        <f t="shared" si="0"/>
        <v>0.36298932384341637</v>
      </c>
      <c r="I14" s="3">
        <v>1450</v>
      </c>
      <c r="J14" s="3">
        <v>1</v>
      </c>
      <c r="K14" s="3">
        <v>28</v>
      </c>
      <c r="L14" s="3">
        <v>1</v>
      </c>
      <c r="M14" s="3">
        <v>187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</v>
      </c>
      <c r="X14" s="3">
        <v>1</v>
      </c>
      <c r="Y14" s="3">
        <v>373</v>
      </c>
      <c r="Z14" s="3">
        <v>4</v>
      </c>
      <c r="AA14" s="3">
        <v>0</v>
      </c>
      <c r="AB14" s="3">
        <v>0</v>
      </c>
      <c r="AC14" s="3">
        <f t="shared" si="1"/>
        <v>596</v>
      </c>
      <c r="AD14" s="3">
        <v>14</v>
      </c>
      <c r="AE14" s="16">
        <f t="shared" si="2"/>
        <v>2.2950819672131147E-2</v>
      </c>
    </row>
    <row r="15" spans="1:31" x14ac:dyDescent="0.5">
      <c r="A15" s="3">
        <v>22</v>
      </c>
      <c r="B15" s="3">
        <v>14</v>
      </c>
      <c r="C15" s="3">
        <v>1523</v>
      </c>
      <c r="D15" s="3">
        <v>4</v>
      </c>
      <c r="E15" s="3">
        <v>169</v>
      </c>
      <c r="F15" s="3">
        <v>370</v>
      </c>
      <c r="G15" s="3">
        <v>443</v>
      </c>
      <c r="H15" s="16">
        <f t="shared" si="0"/>
        <v>0.29087327642810246</v>
      </c>
      <c r="I15" s="3">
        <v>1200</v>
      </c>
      <c r="J15" s="3">
        <v>0</v>
      </c>
      <c r="K15" s="3">
        <v>25</v>
      </c>
      <c r="L15" s="3">
        <v>0</v>
      </c>
      <c r="M15" s="3">
        <v>156</v>
      </c>
      <c r="N15" s="3">
        <v>0</v>
      </c>
      <c r="O15" s="3">
        <v>4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</v>
      </c>
      <c r="V15" s="3">
        <v>0</v>
      </c>
      <c r="W15" s="3">
        <v>0</v>
      </c>
      <c r="X15" s="3">
        <v>0</v>
      </c>
      <c r="Y15" s="3">
        <v>242</v>
      </c>
      <c r="Z15" s="3">
        <v>7</v>
      </c>
      <c r="AA15" s="3">
        <v>0</v>
      </c>
      <c r="AB15" s="3">
        <v>0</v>
      </c>
      <c r="AC15" s="3">
        <f t="shared" si="1"/>
        <v>435</v>
      </c>
      <c r="AD15" s="3">
        <v>8</v>
      </c>
      <c r="AE15" s="16">
        <f t="shared" si="2"/>
        <v>1.8058690744920992E-2</v>
      </c>
    </row>
    <row r="16" spans="1:31" x14ac:dyDescent="0.5">
      <c r="A16" s="3">
        <v>22</v>
      </c>
      <c r="B16" s="3">
        <v>15</v>
      </c>
      <c r="C16" s="3">
        <v>1419</v>
      </c>
      <c r="D16" s="3">
        <v>3</v>
      </c>
      <c r="E16" s="3">
        <v>179</v>
      </c>
      <c r="F16" s="3">
        <v>329</v>
      </c>
      <c r="G16" s="3">
        <v>391</v>
      </c>
      <c r="H16" s="16">
        <f t="shared" si="0"/>
        <v>0.27554615926708947</v>
      </c>
      <c r="I16" s="3">
        <v>1250</v>
      </c>
      <c r="J16" s="3">
        <v>1</v>
      </c>
      <c r="K16" s="3">
        <v>13</v>
      </c>
      <c r="L16" s="3">
        <v>1</v>
      </c>
      <c r="M16" s="3">
        <v>31</v>
      </c>
      <c r="N16" s="3">
        <v>0</v>
      </c>
      <c r="O16" s="3">
        <v>0</v>
      </c>
      <c r="P16" s="3">
        <v>0</v>
      </c>
      <c r="Q16" s="3">
        <v>0</v>
      </c>
      <c r="R16" s="3">
        <v>1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337</v>
      </c>
      <c r="Z16" s="3">
        <v>1</v>
      </c>
      <c r="AA16" s="3">
        <v>0</v>
      </c>
      <c r="AB16" s="3">
        <v>0</v>
      </c>
      <c r="AC16" s="3">
        <f t="shared" si="1"/>
        <v>385</v>
      </c>
      <c r="AD16" s="3">
        <v>6</v>
      </c>
      <c r="AE16" s="16">
        <f t="shared" si="2"/>
        <v>1.5345268542199489E-2</v>
      </c>
    </row>
    <row r="17" spans="1:31" x14ac:dyDescent="0.5">
      <c r="A17" s="3">
        <v>22</v>
      </c>
      <c r="B17" s="3">
        <v>16</v>
      </c>
      <c r="C17" s="3">
        <v>505</v>
      </c>
      <c r="D17" s="3">
        <v>1</v>
      </c>
      <c r="E17" s="3">
        <v>118</v>
      </c>
      <c r="F17" s="3">
        <v>220</v>
      </c>
      <c r="G17" s="3">
        <v>256</v>
      </c>
      <c r="H17" s="16">
        <f t="shared" si="0"/>
        <v>0.50693069306930694</v>
      </c>
      <c r="I17" s="3">
        <v>450</v>
      </c>
      <c r="J17" s="3">
        <v>0</v>
      </c>
      <c r="K17" s="3">
        <v>3</v>
      </c>
      <c r="L17" s="3">
        <v>0</v>
      </c>
      <c r="M17" s="3">
        <v>3</v>
      </c>
      <c r="N17" s="3">
        <v>0</v>
      </c>
      <c r="O17" s="3">
        <v>0</v>
      </c>
      <c r="P17" s="3">
        <v>0</v>
      </c>
      <c r="Q17" s="3">
        <v>0</v>
      </c>
      <c r="R17" s="3">
        <v>1</v>
      </c>
      <c r="S17" s="3">
        <v>0</v>
      </c>
      <c r="T17" s="3">
        <v>0</v>
      </c>
      <c r="U17" s="3">
        <v>2</v>
      </c>
      <c r="V17" s="3">
        <v>0</v>
      </c>
      <c r="W17" s="3">
        <v>0</v>
      </c>
      <c r="X17" s="3">
        <v>1</v>
      </c>
      <c r="Y17" s="3">
        <v>241</v>
      </c>
      <c r="Z17" s="3">
        <v>0</v>
      </c>
      <c r="AA17" s="3">
        <v>0</v>
      </c>
      <c r="AB17" s="3">
        <v>0</v>
      </c>
      <c r="AC17" s="3">
        <f t="shared" si="1"/>
        <v>251</v>
      </c>
      <c r="AD17" s="3">
        <v>5</v>
      </c>
      <c r="AE17" s="16">
        <f t="shared" si="2"/>
        <v>1.953125E-2</v>
      </c>
    </row>
    <row r="18" spans="1:31" x14ac:dyDescent="0.5">
      <c r="A18" s="3">
        <v>22</v>
      </c>
      <c r="B18" s="3">
        <v>17</v>
      </c>
      <c r="C18" s="3">
        <v>202</v>
      </c>
      <c r="D18" s="3">
        <v>0</v>
      </c>
      <c r="E18" s="3">
        <v>55</v>
      </c>
      <c r="F18" s="3">
        <v>101</v>
      </c>
      <c r="G18" s="3">
        <v>111</v>
      </c>
      <c r="H18" s="16">
        <f t="shared" si="0"/>
        <v>0.54950495049504955</v>
      </c>
      <c r="I18" s="3">
        <v>200</v>
      </c>
      <c r="J18" s="3">
        <v>0</v>
      </c>
      <c r="K18" s="3">
        <v>0</v>
      </c>
      <c r="L18" s="3">
        <v>0</v>
      </c>
      <c r="M18" s="3">
        <v>3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104</v>
      </c>
      <c r="Z18" s="3">
        <v>3</v>
      </c>
      <c r="AA18" s="3">
        <v>0</v>
      </c>
      <c r="AB18" s="3">
        <v>0</v>
      </c>
      <c r="AC18" s="3">
        <f t="shared" si="1"/>
        <v>110</v>
      </c>
      <c r="AD18" s="3">
        <v>1</v>
      </c>
      <c r="AE18" s="16">
        <f t="shared" si="2"/>
        <v>9.0090090090090089E-3</v>
      </c>
    </row>
    <row r="19" spans="1:31" x14ac:dyDescent="0.5">
      <c r="A19" s="3">
        <v>22</v>
      </c>
      <c r="B19" s="3">
        <v>18</v>
      </c>
      <c r="C19" s="3">
        <v>1594</v>
      </c>
      <c r="D19" s="3">
        <v>1</v>
      </c>
      <c r="E19" s="3">
        <v>310</v>
      </c>
      <c r="F19" s="3">
        <v>530</v>
      </c>
      <c r="G19" s="3">
        <v>796</v>
      </c>
      <c r="H19" s="16">
        <f t="shared" si="0"/>
        <v>0.49937264742785448</v>
      </c>
      <c r="I19" s="3">
        <v>1450</v>
      </c>
      <c r="J19" s="3">
        <v>0</v>
      </c>
      <c r="K19" s="3">
        <v>144</v>
      </c>
      <c r="L19" s="3">
        <v>0</v>
      </c>
      <c r="M19" s="3">
        <v>27</v>
      </c>
      <c r="N19" s="3">
        <v>0</v>
      </c>
      <c r="O19" s="3">
        <v>1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607</v>
      </c>
      <c r="Z19" s="3">
        <v>4</v>
      </c>
      <c r="AA19" s="3">
        <v>0</v>
      </c>
      <c r="AB19" s="3">
        <v>0</v>
      </c>
      <c r="AC19" s="3">
        <f t="shared" si="1"/>
        <v>783</v>
      </c>
      <c r="AD19" s="3">
        <v>11</v>
      </c>
      <c r="AE19" s="16">
        <f t="shared" si="2"/>
        <v>1.3853904282115869E-2</v>
      </c>
    </row>
    <row r="20" spans="1:31" x14ac:dyDescent="0.5">
      <c r="A20" s="3">
        <v>22</v>
      </c>
      <c r="B20" s="3">
        <v>19</v>
      </c>
      <c r="C20" s="3">
        <v>724</v>
      </c>
      <c r="D20" s="3">
        <v>1</v>
      </c>
      <c r="E20" s="3">
        <v>75</v>
      </c>
      <c r="F20" s="3">
        <v>201</v>
      </c>
      <c r="G20" s="3">
        <v>311</v>
      </c>
      <c r="H20" s="16">
        <f t="shared" si="0"/>
        <v>0.42955801104972374</v>
      </c>
      <c r="I20" s="3">
        <v>600</v>
      </c>
      <c r="J20" s="3">
        <v>0</v>
      </c>
      <c r="K20" s="3">
        <v>31</v>
      </c>
      <c r="L20" s="3">
        <v>0</v>
      </c>
      <c r="M20" s="3">
        <v>3</v>
      </c>
      <c r="N20" s="3">
        <v>0</v>
      </c>
      <c r="O20" s="3">
        <v>0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</v>
      </c>
      <c r="Y20" s="3">
        <v>269</v>
      </c>
      <c r="Z20" s="3">
        <v>6</v>
      </c>
      <c r="AA20" s="3">
        <v>0</v>
      </c>
      <c r="AB20" s="3">
        <v>0</v>
      </c>
      <c r="AC20" s="3">
        <f t="shared" si="1"/>
        <v>311</v>
      </c>
      <c r="AD20" s="3">
        <v>0</v>
      </c>
      <c r="AE20" s="16">
        <f t="shared" si="2"/>
        <v>0</v>
      </c>
    </row>
    <row r="21" spans="1:31" x14ac:dyDescent="0.5">
      <c r="A21" s="3">
        <v>22</v>
      </c>
      <c r="B21" s="3">
        <v>20</v>
      </c>
      <c r="C21" s="3">
        <v>255</v>
      </c>
      <c r="D21" s="3">
        <v>1</v>
      </c>
      <c r="E21" s="3">
        <v>68</v>
      </c>
      <c r="F21" s="3">
        <v>123</v>
      </c>
      <c r="G21" s="3">
        <v>152</v>
      </c>
      <c r="H21" s="16">
        <f t="shared" si="0"/>
        <v>0.59607843137254901</v>
      </c>
      <c r="I21" s="3">
        <v>250</v>
      </c>
      <c r="J21" s="3">
        <v>0</v>
      </c>
      <c r="K21" s="3">
        <v>12</v>
      </c>
      <c r="L21" s="3">
        <v>1</v>
      </c>
      <c r="M21" s="3">
        <v>28</v>
      </c>
      <c r="N21" s="3">
        <v>0</v>
      </c>
      <c r="O21" s="3">
        <v>0</v>
      </c>
      <c r="P21" s="3">
        <v>1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106</v>
      </c>
      <c r="Z21" s="3">
        <v>0</v>
      </c>
      <c r="AA21" s="3">
        <v>0</v>
      </c>
      <c r="AB21" s="3">
        <v>0</v>
      </c>
      <c r="AC21" s="3">
        <f t="shared" si="1"/>
        <v>149</v>
      </c>
      <c r="AD21" s="3">
        <v>3</v>
      </c>
      <c r="AE21" s="16">
        <f t="shared" si="2"/>
        <v>1.9736842105263157E-2</v>
      </c>
    </row>
    <row r="22" spans="1:31" x14ac:dyDescent="0.5">
      <c r="A22" s="3">
        <v>22</v>
      </c>
      <c r="B22" s="3">
        <v>21</v>
      </c>
      <c r="C22" s="3">
        <v>1278</v>
      </c>
      <c r="D22" s="3">
        <v>0</v>
      </c>
      <c r="E22" s="3">
        <v>279</v>
      </c>
      <c r="F22" s="3">
        <v>487</v>
      </c>
      <c r="G22" s="3">
        <v>638</v>
      </c>
      <c r="H22" s="16">
        <f t="shared" si="0"/>
        <v>0.49921752738654146</v>
      </c>
      <c r="I22" s="3">
        <v>1200</v>
      </c>
      <c r="J22" s="3">
        <v>4</v>
      </c>
      <c r="K22" s="3">
        <v>34</v>
      </c>
      <c r="L22" s="3">
        <v>7</v>
      </c>
      <c r="M22" s="3">
        <v>43</v>
      </c>
      <c r="N22" s="3">
        <v>0</v>
      </c>
      <c r="O22" s="3">
        <v>2</v>
      </c>
      <c r="P22" s="3">
        <v>2</v>
      </c>
      <c r="Q22" s="3">
        <v>0</v>
      </c>
      <c r="R22" s="3">
        <v>0</v>
      </c>
      <c r="S22" s="3">
        <v>0</v>
      </c>
      <c r="T22" s="3">
        <v>0</v>
      </c>
      <c r="U22" s="3">
        <v>1</v>
      </c>
      <c r="V22" s="3">
        <v>3</v>
      </c>
      <c r="W22" s="3">
        <v>0</v>
      </c>
      <c r="X22" s="3">
        <v>0</v>
      </c>
      <c r="Y22" s="3">
        <v>518</v>
      </c>
      <c r="Z22" s="3">
        <v>4</v>
      </c>
      <c r="AA22" s="3">
        <v>0</v>
      </c>
      <c r="AB22" s="3">
        <v>0</v>
      </c>
      <c r="AC22" s="3">
        <f t="shared" si="1"/>
        <v>618</v>
      </c>
      <c r="AD22" s="3">
        <v>18</v>
      </c>
      <c r="AE22" s="16">
        <f t="shared" si="2"/>
        <v>2.8301886792452831E-2</v>
      </c>
    </row>
    <row r="23" spans="1:31" x14ac:dyDescent="0.5">
      <c r="A23" s="3">
        <v>22</v>
      </c>
      <c r="B23" s="3">
        <v>22</v>
      </c>
      <c r="C23" s="3">
        <v>1167</v>
      </c>
      <c r="D23" s="3">
        <v>2</v>
      </c>
      <c r="E23" s="3">
        <v>150</v>
      </c>
      <c r="F23" s="3">
        <v>294</v>
      </c>
      <c r="G23" s="3">
        <v>376</v>
      </c>
      <c r="H23" s="16">
        <f t="shared" si="0"/>
        <v>0.32219365895458441</v>
      </c>
      <c r="I23" s="3">
        <v>950</v>
      </c>
      <c r="J23" s="3">
        <v>0</v>
      </c>
      <c r="K23" s="3">
        <v>12</v>
      </c>
      <c r="L23" s="3">
        <v>0</v>
      </c>
      <c r="M23" s="3">
        <v>30</v>
      </c>
      <c r="N23" s="3">
        <v>0</v>
      </c>
      <c r="O23" s="3">
        <v>0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320</v>
      </c>
      <c r="Z23" s="3">
        <v>7</v>
      </c>
      <c r="AA23" s="3">
        <v>0</v>
      </c>
      <c r="AB23" s="3">
        <v>0</v>
      </c>
      <c r="AC23" s="3">
        <f t="shared" si="1"/>
        <v>370</v>
      </c>
      <c r="AD23" s="3">
        <v>6</v>
      </c>
      <c r="AE23" s="16">
        <f t="shared" si="2"/>
        <v>1.5957446808510637E-2</v>
      </c>
    </row>
    <row r="24" spans="1:31" x14ac:dyDescent="0.5">
      <c r="A24" s="3">
        <v>22</v>
      </c>
      <c r="B24" s="3">
        <v>23</v>
      </c>
      <c r="C24" s="3">
        <v>1224</v>
      </c>
      <c r="D24" s="3">
        <v>3</v>
      </c>
      <c r="E24" s="3">
        <v>135</v>
      </c>
      <c r="F24" s="3">
        <v>273</v>
      </c>
      <c r="G24" s="3">
        <v>374</v>
      </c>
      <c r="H24" s="16">
        <f t="shared" si="0"/>
        <v>0.30555555555555558</v>
      </c>
      <c r="I24" s="3">
        <v>1050</v>
      </c>
      <c r="J24" s="3">
        <v>0</v>
      </c>
      <c r="K24" s="3">
        <v>40</v>
      </c>
      <c r="L24" s="3">
        <v>0</v>
      </c>
      <c r="M24" s="3">
        <v>65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244</v>
      </c>
      <c r="Z24" s="3">
        <v>14</v>
      </c>
      <c r="AA24" s="3">
        <v>0</v>
      </c>
      <c r="AB24" s="3">
        <v>0</v>
      </c>
      <c r="AC24" s="3">
        <f t="shared" si="1"/>
        <v>364</v>
      </c>
      <c r="AD24" s="3">
        <v>8</v>
      </c>
      <c r="AE24" s="16">
        <f t="shared" si="2"/>
        <v>2.1505376344086023E-2</v>
      </c>
    </row>
    <row r="25" spans="1:31" x14ac:dyDescent="0.5">
      <c r="A25" s="3">
        <v>22</v>
      </c>
      <c r="B25" s="3">
        <v>24</v>
      </c>
      <c r="C25" s="3">
        <v>749</v>
      </c>
      <c r="D25" s="3">
        <v>1</v>
      </c>
      <c r="E25" s="3">
        <v>95</v>
      </c>
      <c r="F25" s="3">
        <v>182</v>
      </c>
      <c r="G25" s="3">
        <v>280</v>
      </c>
      <c r="H25" s="16">
        <f t="shared" si="0"/>
        <v>0.37383177570093457</v>
      </c>
      <c r="I25" s="3">
        <v>650</v>
      </c>
      <c r="J25" s="3">
        <v>0</v>
      </c>
      <c r="K25" s="3">
        <v>25</v>
      </c>
      <c r="L25" s="3">
        <v>0</v>
      </c>
      <c r="M25" s="3">
        <v>18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215</v>
      </c>
      <c r="Z25" s="3">
        <v>20</v>
      </c>
      <c r="AA25" s="3">
        <v>0</v>
      </c>
      <c r="AB25" s="3">
        <v>0</v>
      </c>
      <c r="AC25" s="3">
        <f t="shared" si="1"/>
        <v>278</v>
      </c>
      <c r="AD25" s="3">
        <v>2</v>
      </c>
      <c r="AE25" s="16">
        <f t="shared" si="2"/>
        <v>7.1428571428571426E-3</v>
      </c>
    </row>
    <row r="26" spans="1:31" x14ac:dyDescent="0.5">
      <c r="A26" s="3">
        <v>22</v>
      </c>
      <c r="B26" s="3">
        <v>25</v>
      </c>
      <c r="C26" s="3">
        <v>1159</v>
      </c>
      <c r="D26" s="3">
        <v>3</v>
      </c>
      <c r="E26" s="3">
        <v>160</v>
      </c>
      <c r="F26" s="3">
        <v>387</v>
      </c>
      <c r="G26" s="3">
        <v>440</v>
      </c>
      <c r="H26" s="16">
        <f t="shared" si="0"/>
        <v>0.37963761863675582</v>
      </c>
      <c r="I26" s="3">
        <v>950</v>
      </c>
      <c r="J26" s="3">
        <v>0</v>
      </c>
      <c r="K26" s="3">
        <v>0</v>
      </c>
      <c r="L26" s="3">
        <v>0</v>
      </c>
      <c r="M26" s="3">
        <v>125</v>
      </c>
      <c r="N26" s="3">
        <v>0</v>
      </c>
      <c r="O26" s="3">
        <v>3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2</v>
      </c>
      <c r="Y26" s="3">
        <v>306</v>
      </c>
      <c r="Z26" s="3">
        <v>0</v>
      </c>
      <c r="AA26" s="3">
        <v>0</v>
      </c>
      <c r="AB26" s="3">
        <v>0</v>
      </c>
      <c r="AC26" s="3">
        <f t="shared" si="1"/>
        <v>436</v>
      </c>
      <c r="AD26" s="3">
        <v>4</v>
      </c>
      <c r="AE26" s="16">
        <f t="shared" si="2"/>
        <v>9.0909090909090905E-3</v>
      </c>
    </row>
    <row r="27" spans="1:31" x14ac:dyDescent="0.5">
      <c r="A27" s="3">
        <v>22</v>
      </c>
      <c r="B27" s="3">
        <v>26</v>
      </c>
      <c r="C27" s="3">
        <v>1531</v>
      </c>
      <c r="D27" s="3">
        <v>6</v>
      </c>
      <c r="E27" s="3">
        <v>173</v>
      </c>
      <c r="F27" s="3">
        <v>445</v>
      </c>
      <c r="G27" s="3">
        <v>513</v>
      </c>
      <c r="H27" s="16">
        <f t="shared" si="0"/>
        <v>0.3350751143043762</v>
      </c>
      <c r="I27" s="3">
        <v>1400</v>
      </c>
      <c r="J27" s="3">
        <v>4</v>
      </c>
      <c r="K27" s="3">
        <v>28</v>
      </c>
      <c r="L27" s="3">
        <v>6</v>
      </c>
      <c r="M27" s="3">
        <v>41</v>
      </c>
      <c r="N27" s="3">
        <v>0</v>
      </c>
      <c r="O27" s="3">
        <v>4</v>
      </c>
      <c r="P27" s="3">
        <v>20</v>
      </c>
      <c r="Q27" s="3">
        <v>0</v>
      </c>
      <c r="R27" s="3">
        <v>2</v>
      </c>
      <c r="S27" s="3">
        <v>0</v>
      </c>
      <c r="T27" s="3">
        <v>3</v>
      </c>
      <c r="U27" s="3">
        <v>1</v>
      </c>
      <c r="V27" s="3">
        <v>4</v>
      </c>
      <c r="W27" s="3">
        <v>0</v>
      </c>
      <c r="X27" s="3">
        <v>1</v>
      </c>
      <c r="Y27" s="3">
        <v>369</v>
      </c>
      <c r="Z27" s="3">
        <v>2</v>
      </c>
      <c r="AA27" s="3">
        <v>0</v>
      </c>
      <c r="AB27" s="3">
        <v>0</v>
      </c>
      <c r="AC27" s="3">
        <f t="shared" si="1"/>
        <v>485</v>
      </c>
      <c r="AD27" s="3">
        <v>28</v>
      </c>
      <c r="AE27" s="16">
        <f t="shared" si="2"/>
        <v>5.4580896686159841E-2</v>
      </c>
    </row>
    <row r="28" spans="1:31" x14ac:dyDescent="0.5">
      <c r="A28" s="3">
        <v>22</v>
      </c>
      <c r="B28" s="3">
        <v>27</v>
      </c>
      <c r="C28" s="3">
        <v>1116</v>
      </c>
      <c r="D28" s="3">
        <v>0</v>
      </c>
      <c r="E28" s="3">
        <v>149</v>
      </c>
      <c r="F28" s="3">
        <v>365</v>
      </c>
      <c r="G28" s="3">
        <v>529</v>
      </c>
      <c r="H28" s="16">
        <f t="shared" si="0"/>
        <v>0.47401433691756273</v>
      </c>
      <c r="I28" s="3">
        <v>1050</v>
      </c>
      <c r="J28" s="3">
        <v>3</v>
      </c>
      <c r="K28" s="3">
        <v>6</v>
      </c>
      <c r="L28" s="3">
        <v>8</v>
      </c>
      <c r="M28" s="3">
        <v>59</v>
      </c>
      <c r="N28" s="3">
        <v>0</v>
      </c>
      <c r="O28" s="3">
        <v>1</v>
      </c>
      <c r="P28" s="3">
        <v>1</v>
      </c>
      <c r="Q28" s="3">
        <v>0</v>
      </c>
      <c r="R28" s="3">
        <v>1</v>
      </c>
      <c r="S28" s="3">
        <v>0</v>
      </c>
      <c r="T28" s="3">
        <v>2</v>
      </c>
      <c r="U28" s="3">
        <v>0</v>
      </c>
      <c r="V28" s="3">
        <v>6</v>
      </c>
      <c r="W28" s="3">
        <v>0</v>
      </c>
      <c r="X28" s="3">
        <v>1</v>
      </c>
      <c r="Y28" s="3">
        <v>421</v>
      </c>
      <c r="Z28" s="3">
        <v>1</v>
      </c>
      <c r="AA28" s="3">
        <v>0</v>
      </c>
      <c r="AB28" s="3">
        <v>0</v>
      </c>
      <c r="AC28" s="3">
        <f t="shared" si="1"/>
        <v>510</v>
      </c>
      <c r="AD28" s="3">
        <v>18</v>
      </c>
      <c r="AE28" s="16">
        <f t="shared" si="2"/>
        <v>3.4090909090909088E-2</v>
      </c>
    </row>
    <row r="29" spans="1:31" x14ac:dyDescent="0.5">
      <c r="A29" s="3">
        <v>22</v>
      </c>
      <c r="B29" s="3">
        <v>28</v>
      </c>
      <c r="C29" s="3">
        <v>284</v>
      </c>
      <c r="D29" s="3">
        <v>4</v>
      </c>
      <c r="E29" s="3">
        <v>30</v>
      </c>
      <c r="F29" s="3">
        <v>52</v>
      </c>
      <c r="G29" s="3">
        <v>70</v>
      </c>
      <c r="H29" s="16">
        <f t="shared" si="0"/>
        <v>0.24647887323943662</v>
      </c>
      <c r="I29" s="3">
        <v>250</v>
      </c>
      <c r="J29" s="3">
        <v>0</v>
      </c>
      <c r="K29" s="3">
        <v>0</v>
      </c>
      <c r="L29" s="3">
        <v>0</v>
      </c>
      <c r="M29" s="3">
        <v>2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67</v>
      </c>
      <c r="Z29" s="3">
        <v>1</v>
      </c>
      <c r="AA29" s="3">
        <v>0</v>
      </c>
      <c r="AB29" s="3">
        <v>0</v>
      </c>
      <c r="AC29" s="3">
        <f t="shared" si="1"/>
        <v>70</v>
      </c>
      <c r="AD29" s="3">
        <v>0</v>
      </c>
      <c r="AE29" s="16">
        <f t="shared" si="2"/>
        <v>0</v>
      </c>
    </row>
    <row r="30" spans="1:31" x14ac:dyDescent="0.5">
      <c r="A30" s="3">
        <v>22</v>
      </c>
      <c r="B30" s="3">
        <v>29</v>
      </c>
      <c r="C30" s="3">
        <v>1559</v>
      </c>
      <c r="D30" s="3">
        <v>6</v>
      </c>
      <c r="E30" s="3">
        <v>165</v>
      </c>
      <c r="F30" s="3">
        <v>305</v>
      </c>
      <c r="G30" s="3">
        <v>435</v>
      </c>
      <c r="H30" s="16">
        <f t="shared" si="0"/>
        <v>0.27902501603592045</v>
      </c>
      <c r="I30" s="3">
        <v>1400</v>
      </c>
      <c r="J30" s="3">
        <v>0</v>
      </c>
      <c r="K30" s="3">
        <v>55</v>
      </c>
      <c r="L30" s="3">
        <v>0</v>
      </c>
      <c r="M30" s="3">
        <v>79</v>
      </c>
      <c r="N30" s="3">
        <v>0</v>
      </c>
      <c r="O30" s="3">
        <v>4</v>
      </c>
      <c r="P30" s="3">
        <v>0</v>
      </c>
      <c r="Q30" s="3">
        <v>1</v>
      </c>
      <c r="R30" s="3">
        <v>0</v>
      </c>
      <c r="S30" s="3">
        <v>0</v>
      </c>
      <c r="T30" s="3">
        <v>0</v>
      </c>
      <c r="U30" s="3">
        <v>2</v>
      </c>
      <c r="V30" s="3">
        <v>0</v>
      </c>
      <c r="W30" s="3">
        <v>0</v>
      </c>
      <c r="X30" s="3">
        <v>0</v>
      </c>
      <c r="Y30" s="3">
        <v>290</v>
      </c>
      <c r="Z30" s="3">
        <v>0</v>
      </c>
      <c r="AA30" s="3">
        <v>0</v>
      </c>
      <c r="AB30" s="3">
        <v>0</v>
      </c>
      <c r="AC30" s="3">
        <f t="shared" si="1"/>
        <v>431</v>
      </c>
      <c r="AD30" s="3">
        <v>3</v>
      </c>
      <c r="AE30" s="16">
        <f t="shared" si="2"/>
        <v>6.9124423963133645E-3</v>
      </c>
    </row>
    <row r="31" spans="1:31" x14ac:dyDescent="0.5">
      <c r="A31" s="3">
        <v>22</v>
      </c>
      <c r="B31" s="3">
        <v>30</v>
      </c>
      <c r="C31" s="3">
        <v>1410</v>
      </c>
      <c r="D31" s="3">
        <v>10</v>
      </c>
      <c r="E31" s="3">
        <v>174</v>
      </c>
      <c r="F31" s="3">
        <v>354</v>
      </c>
      <c r="G31" s="3">
        <v>470</v>
      </c>
      <c r="H31" s="16">
        <f t="shared" si="0"/>
        <v>0.33333333333333331</v>
      </c>
      <c r="I31" s="3">
        <v>1300</v>
      </c>
      <c r="J31" s="3">
        <v>0</v>
      </c>
      <c r="K31" s="3">
        <v>54</v>
      </c>
      <c r="L31" s="3">
        <v>0</v>
      </c>
      <c r="M31" s="3">
        <v>46</v>
      </c>
      <c r="N31" s="3">
        <v>0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365</v>
      </c>
      <c r="Z31" s="3">
        <v>3</v>
      </c>
      <c r="AA31" s="3">
        <v>0</v>
      </c>
      <c r="AB31" s="3">
        <v>0</v>
      </c>
      <c r="AC31" s="3">
        <f t="shared" si="1"/>
        <v>469</v>
      </c>
      <c r="AD31" s="3">
        <v>1</v>
      </c>
      <c r="AE31" s="16">
        <f t="shared" si="2"/>
        <v>2.1276595744680851E-3</v>
      </c>
    </row>
    <row r="32" spans="1:31" x14ac:dyDescent="0.5">
      <c r="A32" s="3">
        <v>22</v>
      </c>
      <c r="B32" s="3">
        <v>31</v>
      </c>
      <c r="C32" s="3">
        <v>1523</v>
      </c>
      <c r="D32" s="3">
        <v>3</v>
      </c>
      <c r="E32" s="3">
        <v>208</v>
      </c>
      <c r="F32" s="3">
        <v>368</v>
      </c>
      <c r="G32" s="3">
        <v>537</v>
      </c>
      <c r="H32" s="16">
        <f t="shared" si="0"/>
        <v>0.35259356533158243</v>
      </c>
      <c r="I32" s="3">
        <v>1400</v>
      </c>
      <c r="J32" s="3">
        <v>0</v>
      </c>
      <c r="K32" s="3">
        <v>42</v>
      </c>
      <c r="L32" s="3">
        <v>1</v>
      </c>
      <c r="M32" s="3">
        <v>51</v>
      </c>
      <c r="N32" s="3">
        <v>0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439</v>
      </c>
      <c r="Z32" s="3">
        <v>2</v>
      </c>
      <c r="AA32" s="3">
        <v>0</v>
      </c>
      <c r="AB32" s="3">
        <v>0</v>
      </c>
      <c r="AC32" s="3">
        <f t="shared" si="1"/>
        <v>536</v>
      </c>
      <c r="AD32" s="3">
        <v>1</v>
      </c>
      <c r="AE32" s="16">
        <f t="shared" si="2"/>
        <v>1.8621973929236499E-3</v>
      </c>
    </row>
    <row r="33" spans="1:31" x14ac:dyDescent="0.5">
      <c r="A33" s="3">
        <v>22</v>
      </c>
      <c r="B33" s="3">
        <v>32</v>
      </c>
      <c r="C33" s="3">
        <v>1020</v>
      </c>
      <c r="D33" s="3">
        <v>1</v>
      </c>
      <c r="E33" s="3">
        <v>226</v>
      </c>
      <c r="F33" s="3">
        <v>380</v>
      </c>
      <c r="G33" s="3">
        <v>485</v>
      </c>
      <c r="H33" s="16">
        <f t="shared" si="0"/>
        <v>0.47549019607843135</v>
      </c>
      <c r="I33" s="3">
        <v>950</v>
      </c>
      <c r="J33" s="3">
        <v>1</v>
      </c>
      <c r="K33" s="3">
        <v>146</v>
      </c>
      <c r="L33" s="3">
        <v>1</v>
      </c>
      <c r="M33" s="3">
        <v>13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1</v>
      </c>
      <c r="V33" s="3">
        <v>0</v>
      </c>
      <c r="W33" s="3">
        <v>0</v>
      </c>
      <c r="X33" s="3">
        <v>1</v>
      </c>
      <c r="Y33" s="3">
        <v>309</v>
      </c>
      <c r="Z33" s="3">
        <v>6</v>
      </c>
      <c r="AA33" s="3">
        <v>0</v>
      </c>
      <c r="AB33" s="3">
        <v>0</v>
      </c>
      <c r="AC33" s="3">
        <f t="shared" si="1"/>
        <v>478</v>
      </c>
      <c r="AD33" s="3">
        <v>7</v>
      </c>
      <c r="AE33" s="16">
        <f t="shared" si="2"/>
        <v>1.443298969072165E-2</v>
      </c>
    </row>
    <row r="34" spans="1:31" x14ac:dyDescent="0.5">
      <c r="A34" s="3">
        <v>22</v>
      </c>
      <c r="B34" s="3">
        <v>33</v>
      </c>
      <c r="C34" s="3">
        <v>541</v>
      </c>
      <c r="D34" s="3">
        <v>2</v>
      </c>
      <c r="E34" s="3">
        <v>81</v>
      </c>
      <c r="F34" s="3">
        <v>154</v>
      </c>
      <c r="G34" s="3">
        <v>197</v>
      </c>
      <c r="H34" s="16">
        <f t="shared" si="0"/>
        <v>0.36414048059149723</v>
      </c>
      <c r="I34" s="3">
        <v>500</v>
      </c>
      <c r="J34" s="3">
        <v>0</v>
      </c>
      <c r="K34" s="3">
        <v>8</v>
      </c>
      <c r="L34" s="3">
        <v>0</v>
      </c>
      <c r="M34" s="3">
        <v>31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156</v>
      </c>
      <c r="Z34" s="3">
        <v>0</v>
      </c>
      <c r="AA34" s="3">
        <v>0</v>
      </c>
      <c r="AB34" s="3">
        <v>0</v>
      </c>
      <c r="AC34" s="3">
        <f t="shared" si="1"/>
        <v>195</v>
      </c>
      <c r="AD34" s="3">
        <v>2</v>
      </c>
      <c r="AE34" s="16">
        <f t="shared" si="2"/>
        <v>1.015228426395939E-2</v>
      </c>
    </row>
    <row r="35" spans="1:31" x14ac:dyDescent="0.5">
      <c r="A35" s="3">
        <v>22</v>
      </c>
      <c r="B35" s="3">
        <v>34</v>
      </c>
      <c r="C35" s="3">
        <v>1051</v>
      </c>
      <c r="D35" s="3">
        <v>3</v>
      </c>
      <c r="E35" s="3">
        <v>151</v>
      </c>
      <c r="F35" s="3">
        <v>260</v>
      </c>
      <c r="G35" s="3">
        <v>346</v>
      </c>
      <c r="H35" s="16">
        <f t="shared" si="0"/>
        <v>0.32921027592768792</v>
      </c>
      <c r="I35" s="3">
        <v>800</v>
      </c>
      <c r="J35" s="3">
        <v>0</v>
      </c>
      <c r="K35" s="3">
        <v>36</v>
      </c>
      <c r="L35" s="3">
        <v>0</v>
      </c>
      <c r="M35" s="3">
        <v>17</v>
      </c>
      <c r="N35" s="3">
        <v>0</v>
      </c>
      <c r="O35" s="3">
        <v>0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285</v>
      </c>
      <c r="Z35" s="3">
        <v>3</v>
      </c>
      <c r="AA35" s="3">
        <v>0</v>
      </c>
      <c r="AB35" s="3">
        <v>0</v>
      </c>
      <c r="AC35" s="3">
        <f t="shared" si="1"/>
        <v>342</v>
      </c>
      <c r="AD35" s="3">
        <v>2</v>
      </c>
      <c r="AE35" s="16">
        <f t="shared" si="2"/>
        <v>5.8139534883720929E-3</v>
      </c>
    </row>
    <row r="36" spans="1:31" x14ac:dyDescent="0.5">
      <c r="A36" s="3">
        <v>22</v>
      </c>
      <c r="B36" s="3">
        <v>35</v>
      </c>
      <c r="C36" s="3">
        <v>1171</v>
      </c>
      <c r="D36" s="3">
        <v>2</v>
      </c>
      <c r="E36" s="3">
        <v>200</v>
      </c>
      <c r="F36" s="3">
        <v>310</v>
      </c>
      <c r="G36" s="3">
        <v>388</v>
      </c>
      <c r="H36" s="16">
        <f t="shared" si="0"/>
        <v>0.33134073441502987</v>
      </c>
      <c r="I36" s="3">
        <v>900</v>
      </c>
      <c r="J36" s="3">
        <v>0</v>
      </c>
      <c r="K36" s="3">
        <v>73</v>
      </c>
      <c r="L36" s="3">
        <v>1</v>
      </c>
      <c r="M36" s="3">
        <v>28</v>
      </c>
      <c r="N36" s="3">
        <v>0</v>
      </c>
      <c r="O36" s="3">
        <v>2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</v>
      </c>
      <c r="V36" s="3">
        <v>0</v>
      </c>
      <c r="W36" s="3">
        <v>0</v>
      </c>
      <c r="X36" s="3">
        <v>2</v>
      </c>
      <c r="Y36" s="3">
        <v>270</v>
      </c>
      <c r="Z36" s="3">
        <v>3</v>
      </c>
      <c r="AA36" s="3">
        <v>0</v>
      </c>
      <c r="AB36" s="3">
        <v>0</v>
      </c>
      <c r="AC36" s="3">
        <f t="shared" si="1"/>
        <v>380</v>
      </c>
      <c r="AD36" s="3">
        <v>5</v>
      </c>
      <c r="AE36" s="16">
        <f t="shared" si="2"/>
        <v>1.2987012987012988E-2</v>
      </c>
    </row>
    <row r="37" spans="1:31" x14ac:dyDescent="0.5">
      <c r="A37" s="3">
        <v>22</v>
      </c>
      <c r="B37" s="3">
        <v>36</v>
      </c>
      <c r="C37" s="3">
        <v>1238</v>
      </c>
      <c r="D37" s="3">
        <v>2</v>
      </c>
      <c r="E37" s="3">
        <v>244</v>
      </c>
      <c r="F37" s="3">
        <v>365</v>
      </c>
      <c r="G37" s="3">
        <v>455</v>
      </c>
      <c r="H37" s="16">
        <f t="shared" si="0"/>
        <v>0.36752827140549271</v>
      </c>
      <c r="I37" s="3">
        <v>1000</v>
      </c>
      <c r="J37" s="3">
        <v>1</v>
      </c>
      <c r="K37" s="3">
        <v>118</v>
      </c>
      <c r="L37" s="3">
        <v>0</v>
      </c>
      <c r="M37" s="3">
        <v>64</v>
      </c>
      <c r="N37" s="3">
        <v>0</v>
      </c>
      <c r="O37" s="3">
        <v>0</v>
      </c>
      <c r="P37" s="3">
        <v>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259</v>
      </c>
      <c r="Z37" s="3">
        <v>2</v>
      </c>
      <c r="AA37" s="3">
        <v>0</v>
      </c>
      <c r="AB37" s="3">
        <v>0</v>
      </c>
      <c r="AC37" s="3">
        <f t="shared" si="1"/>
        <v>445</v>
      </c>
      <c r="AD37" s="3">
        <v>10</v>
      </c>
      <c r="AE37" s="16">
        <f t="shared" si="2"/>
        <v>2.197802197802198E-2</v>
      </c>
    </row>
    <row r="38" spans="1:31" x14ac:dyDescent="0.5">
      <c r="A38" s="3">
        <v>22</v>
      </c>
      <c r="B38" s="3">
        <v>37</v>
      </c>
      <c r="C38" s="3">
        <v>1515</v>
      </c>
      <c r="D38" s="3">
        <v>4</v>
      </c>
      <c r="E38" s="3">
        <v>284</v>
      </c>
      <c r="F38" s="3">
        <v>492</v>
      </c>
      <c r="G38" s="3">
        <v>629</v>
      </c>
      <c r="H38" s="16">
        <f t="shared" si="0"/>
        <v>0.4151815181518152</v>
      </c>
      <c r="I38" s="3">
        <v>1350</v>
      </c>
      <c r="J38" s="3">
        <v>3</v>
      </c>
      <c r="K38" s="3">
        <v>100</v>
      </c>
      <c r="L38" s="3">
        <v>0</v>
      </c>
      <c r="M38" s="3">
        <v>105</v>
      </c>
      <c r="N38" s="3">
        <v>0</v>
      </c>
      <c r="O38" s="3">
        <v>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401</v>
      </c>
      <c r="Z38" s="3">
        <v>6</v>
      </c>
      <c r="AA38" s="3">
        <v>0</v>
      </c>
      <c r="AB38" s="3">
        <v>0</v>
      </c>
      <c r="AC38" s="3">
        <f t="shared" si="1"/>
        <v>617</v>
      </c>
      <c r="AD38" s="3">
        <v>12</v>
      </c>
      <c r="AE38" s="16">
        <f t="shared" si="2"/>
        <v>1.9077901430842606E-2</v>
      </c>
    </row>
    <row r="39" spans="1:31" x14ac:dyDescent="0.5">
      <c r="A39" s="3">
        <v>22</v>
      </c>
      <c r="B39" s="3">
        <v>38</v>
      </c>
      <c r="C39" s="3">
        <v>1208</v>
      </c>
      <c r="D39" s="3">
        <v>4</v>
      </c>
      <c r="E39" s="3">
        <v>250</v>
      </c>
      <c r="F39" s="3">
        <v>457</v>
      </c>
      <c r="G39" s="3">
        <v>568</v>
      </c>
      <c r="H39" s="16">
        <f t="shared" si="0"/>
        <v>0.47019867549668876</v>
      </c>
      <c r="I39" s="3">
        <v>1100</v>
      </c>
      <c r="J39" s="3">
        <v>1</v>
      </c>
      <c r="K39" s="3">
        <v>94</v>
      </c>
      <c r="L39" s="3">
        <v>1</v>
      </c>
      <c r="M39" s="3">
        <v>72</v>
      </c>
      <c r="N39" s="3">
        <v>0</v>
      </c>
      <c r="O39" s="3">
        <v>4</v>
      </c>
      <c r="P39" s="3">
        <v>0</v>
      </c>
      <c r="Q39" s="3">
        <v>0</v>
      </c>
      <c r="R39" s="3">
        <v>0</v>
      </c>
      <c r="S39" s="3">
        <v>0</v>
      </c>
      <c r="T39" s="3">
        <v>1</v>
      </c>
      <c r="U39" s="3">
        <v>0</v>
      </c>
      <c r="V39" s="3">
        <v>1</v>
      </c>
      <c r="W39" s="3">
        <v>0</v>
      </c>
      <c r="X39" s="3">
        <v>2</v>
      </c>
      <c r="Y39" s="3">
        <v>380</v>
      </c>
      <c r="Z39" s="3">
        <v>2</v>
      </c>
      <c r="AA39" s="3">
        <v>0</v>
      </c>
      <c r="AB39" s="3">
        <v>0</v>
      </c>
      <c r="AC39" s="3">
        <f t="shared" si="1"/>
        <v>558</v>
      </c>
      <c r="AD39" s="3">
        <v>8</v>
      </c>
      <c r="AE39" s="16">
        <f t="shared" si="2"/>
        <v>1.4134275618374558E-2</v>
      </c>
    </row>
    <row r="40" spans="1:31" x14ac:dyDescent="0.5">
      <c r="A40" s="3">
        <v>22</v>
      </c>
      <c r="B40" s="3">
        <v>39</v>
      </c>
      <c r="C40" s="3">
        <v>964</v>
      </c>
      <c r="D40" s="3">
        <v>1</v>
      </c>
      <c r="E40" s="3">
        <v>147</v>
      </c>
      <c r="F40" s="3">
        <v>345</v>
      </c>
      <c r="G40" s="3">
        <v>435</v>
      </c>
      <c r="H40" s="16">
        <f t="shared" si="0"/>
        <v>0.45124481327800831</v>
      </c>
      <c r="I40" s="3">
        <v>800</v>
      </c>
      <c r="J40" s="3">
        <v>0</v>
      </c>
      <c r="K40" s="3">
        <v>79</v>
      </c>
      <c r="L40" s="3">
        <v>0</v>
      </c>
      <c r="M40" s="3">
        <v>56</v>
      </c>
      <c r="N40" s="3">
        <v>0</v>
      </c>
      <c r="O40" s="3">
        <v>4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1</v>
      </c>
      <c r="W40" s="3">
        <v>0</v>
      </c>
      <c r="X40" s="3">
        <v>2</v>
      </c>
      <c r="Y40" s="3">
        <v>287</v>
      </c>
      <c r="Z40" s="3">
        <v>0</v>
      </c>
      <c r="AA40" s="3">
        <v>0</v>
      </c>
      <c r="AB40" s="3">
        <v>0</v>
      </c>
      <c r="AC40" s="3">
        <f t="shared" si="1"/>
        <v>429</v>
      </c>
      <c r="AD40" s="3">
        <v>4</v>
      </c>
      <c r="AE40" s="16">
        <f t="shared" si="2"/>
        <v>9.2378752886836026E-3</v>
      </c>
    </row>
    <row r="41" spans="1:31" x14ac:dyDescent="0.5">
      <c r="A41" s="3">
        <v>22</v>
      </c>
      <c r="B41" s="3">
        <v>40</v>
      </c>
      <c r="C41" s="3">
        <v>1337</v>
      </c>
      <c r="D41" s="3">
        <v>2</v>
      </c>
      <c r="E41" s="3">
        <v>225</v>
      </c>
      <c r="F41" s="3">
        <v>429</v>
      </c>
      <c r="G41" s="3">
        <v>540</v>
      </c>
      <c r="H41" s="16">
        <f t="shared" si="0"/>
        <v>0.40388930441286464</v>
      </c>
      <c r="I41" s="3">
        <v>1150</v>
      </c>
      <c r="J41" s="3">
        <v>0</v>
      </c>
      <c r="K41" s="3">
        <v>7</v>
      </c>
      <c r="L41" s="3">
        <v>0</v>
      </c>
      <c r="M41" s="3">
        <v>79</v>
      </c>
      <c r="N41" s="3">
        <v>0</v>
      </c>
      <c r="O41" s="3">
        <v>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440</v>
      </c>
      <c r="Z41" s="3">
        <v>5</v>
      </c>
      <c r="AA41" s="3">
        <v>0</v>
      </c>
      <c r="AB41" s="3">
        <v>0</v>
      </c>
      <c r="AC41" s="3">
        <f t="shared" si="1"/>
        <v>534</v>
      </c>
      <c r="AD41" s="3">
        <v>5</v>
      </c>
      <c r="AE41" s="16">
        <f t="shared" si="2"/>
        <v>9.2764378478664197E-3</v>
      </c>
    </row>
    <row r="42" spans="1:31" x14ac:dyDescent="0.5">
      <c r="A42" s="3">
        <v>22</v>
      </c>
      <c r="B42" s="3">
        <v>41</v>
      </c>
      <c r="C42" s="3">
        <v>1514</v>
      </c>
      <c r="D42" s="3">
        <v>2</v>
      </c>
      <c r="E42" s="3">
        <v>203</v>
      </c>
      <c r="F42" s="3">
        <v>455</v>
      </c>
      <c r="G42" s="3">
        <v>599</v>
      </c>
      <c r="H42" s="16">
        <f t="shared" si="0"/>
        <v>0.39564068692206078</v>
      </c>
      <c r="I42" s="3">
        <v>1150</v>
      </c>
      <c r="J42" s="3">
        <v>1</v>
      </c>
      <c r="K42" s="3">
        <v>75</v>
      </c>
      <c r="L42" s="3">
        <v>0</v>
      </c>
      <c r="M42" s="3">
        <v>21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</v>
      </c>
      <c r="Y42" s="3">
        <v>489</v>
      </c>
      <c r="Z42" s="3">
        <v>8</v>
      </c>
      <c r="AA42" s="3">
        <v>0</v>
      </c>
      <c r="AB42" s="3">
        <v>0</v>
      </c>
      <c r="AC42" s="3">
        <f t="shared" si="1"/>
        <v>595</v>
      </c>
      <c r="AD42" s="3">
        <v>4</v>
      </c>
      <c r="AE42" s="16">
        <f t="shared" si="2"/>
        <v>6.6777963272120202E-3</v>
      </c>
    </row>
    <row r="43" spans="1:31" x14ac:dyDescent="0.5">
      <c r="A43" s="3">
        <v>22</v>
      </c>
      <c r="B43" s="3">
        <v>42</v>
      </c>
      <c r="C43" s="3">
        <v>1286</v>
      </c>
      <c r="D43" s="3">
        <v>1</v>
      </c>
      <c r="E43" s="3">
        <v>145</v>
      </c>
      <c r="F43" s="3">
        <v>302</v>
      </c>
      <c r="G43" s="3">
        <v>379</v>
      </c>
      <c r="H43" s="16">
        <f t="shared" si="0"/>
        <v>0.29471228615863143</v>
      </c>
      <c r="I43" s="3">
        <v>950</v>
      </c>
      <c r="J43" s="3">
        <v>0</v>
      </c>
      <c r="K43" s="3">
        <v>23</v>
      </c>
      <c r="L43" s="3">
        <v>0</v>
      </c>
      <c r="M43" s="3">
        <v>31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305</v>
      </c>
      <c r="Z43" s="3">
        <v>6</v>
      </c>
      <c r="AA43" s="3">
        <v>0</v>
      </c>
      <c r="AB43" s="3">
        <v>0</v>
      </c>
      <c r="AC43" s="3">
        <f t="shared" si="1"/>
        <v>366</v>
      </c>
      <c r="AD43" s="3">
        <v>9</v>
      </c>
      <c r="AE43" s="16">
        <f t="shared" si="2"/>
        <v>2.4E-2</v>
      </c>
    </row>
    <row r="44" spans="1:31" x14ac:dyDescent="0.5">
      <c r="A44" s="3">
        <v>22</v>
      </c>
      <c r="B44" s="3">
        <v>43</v>
      </c>
      <c r="C44" s="3">
        <v>1232</v>
      </c>
      <c r="D44" s="3">
        <v>8</v>
      </c>
      <c r="E44" s="3">
        <v>177</v>
      </c>
      <c r="F44" s="3">
        <v>305</v>
      </c>
      <c r="G44" s="3">
        <v>364</v>
      </c>
      <c r="H44" s="16">
        <f t="shared" si="0"/>
        <v>0.29545454545454547</v>
      </c>
      <c r="I44" s="3">
        <v>1000</v>
      </c>
      <c r="J44" s="3">
        <v>2</v>
      </c>
      <c r="K44" s="3">
        <v>31</v>
      </c>
      <c r="L44" s="3">
        <v>0</v>
      </c>
      <c r="M44" s="3">
        <v>61</v>
      </c>
      <c r="N44" s="3">
        <v>0</v>
      </c>
      <c r="O44" s="3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1</v>
      </c>
      <c r="V44" s="3">
        <v>0</v>
      </c>
      <c r="W44" s="3">
        <v>0</v>
      </c>
      <c r="X44" s="3">
        <v>0</v>
      </c>
      <c r="Y44" s="3">
        <v>263</v>
      </c>
      <c r="Z44" s="3">
        <v>3</v>
      </c>
      <c r="AA44" s="3">
        <v>0</v>
      </c>
      <c r="AB44" s="3">
        <v>0</v>
      </c>
      <c r="AC44" s="3">
        <f t="shared" si="1"/>
        <v>364</v>
      </c>
      <c r="AD44" s="3">
        <v>0</v>
      </c>
      <c r="AE44" s="16">
        <f t="shared" si="2"/>
        <v>0</v>
      </c>
    </row>
    <row r="45" spans="1:31" x14ac:dyDescent="0.5">
      <c r="A45" s="3">
        <v>22</v>
      </c>
      <c r="B45" s="3">
        <v>44</v>
      </c>
      <c r="C45" s="3">
        <v>1465</v>
      </c>
      <c r="D45" s="3">
        <v>1</v>
      </c>
      <c r="E45" s="3">
        <v>250</v>
      </c>
      <c r="F45" s="3">
        <v>358</v>
      </c>
      <c r="G45" s="3">
        <v>477</v>
      </c>
      <c r="H45" s="16">
        <f t="shared" si="0"/>
        <v>0.32559726962457336</v>
      </c>
      <c r="I45" s="3">
        <v>1300</v>
      </c>
      <c r="J45" s="3">
        <v>0</v>
      </c>
      <c r="K45" s="3">
        <v>6</v>
      </c>
      <c r="L45" s="3">
        <v>0</v>
      </c>
      <c r="M45" s="3">
        <v>35</v>
      </c>
      <c r="N45" s="3">
        <v>0</v>
      </c>
      <c r="O45" s="3">
        <v>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413</v>
      </c>
      <c r="Z45" s="3">
        <v>11</v>
      </c>
      <c r="AA45" s="3">
        <v>0</v>
      </c>
      <c r="AB45" s="3">
        <v>0</v>
      </c>
      <c r="AC45" s="3">
        <f t="shared" si="1"/>
        <v>466</v>
      </c>
      <c r="AD45" s="3">
        <v>11</v>
      </c>
      <c r="AE45" s="16">
        <f t="shared" si="2"/>
        <v>2.3060796645702306E-2</v>
      </c>
    </row>
    <row r="46" spans="1:31" x14ac:dyDescent="0.5">
      <c r="A46" s="3">
        <v>22</v>
      </c>
      <c r="B46" s="3">
        <v>45</v>
      </c>
      <c r="C46" s="3">
        <v>341</v>
      </c>
      <c r="D46" s="3">
        <v>2</v>
      </c>
      <c r="E46" s="3">
        <v>116</v>
      </c>
      <c r="F46" s="3">
        <v>152</v>
      </c>
      <c r="G46" s="3">
        <v>186</v>
      </c>
      <c r="H46" s="16">
        <f t="shared" si="0"/>
        <v>0.54545454545454541</v>
      </c>
      <c r="I46" s="3">
        <v>350</v>
      </c>
      <c r="J46" s="3">
        <v>1</v>
      </c>
      <c r="K46" s="3">
        <v>5</v>
      </c>
      <c r="L46" s="3">
        <v>0</v>
      </c>
      <c r="M46" s="3">
        <v>21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153</v>
      </c>
      <c r="Z46" s="3">
        <v>1</v>
      </c>
      <c r="AA46" s="3">
        <v>0</v>
      </c>
      <c r="AB46" s="3">
        <v>0</v>
      </c>
      <c r="AC46" s="3">
        <f t="shared" si="1"/>
        <v>181</v>
      </c>
      <c r="AD46" s="3">
        <v>5</v>
      </c>
      <c r="AE46" s="16">
        <f t="shared" si="2"/>
        <v>2.6881720430107527E-2</v>
      </c>
    </row>
    <row r="47" spans="1:31" x14ac:dyDescent="0.5">
      <c r="A47" s="3">
        <v>22</v>
      </c>
      <c r="B47" s="3">
        <v>46</v>
      </c>
      <c r="C47" s="3">
        <v>965</v>
      </c>
      <c r="D47" s="3">
        <v>1</v>
      </c>
      <c r="E47" s="3">
        <v>180</v>
      </c>
      <c r="F47" s="3">
        <v>290</v>
      </c>
      <c r="G47" s="3">
        <v>337</v>
      </c>
      <c r="H47" s="16">
        <f t="shared" si="0"/>
        <v>0.34922279792746114</v>
      </c>
      <c r="I47" s="3">
        <v>850</v>
      </c>
      <c r="J47" s="3">
        <v>1</v>
      </c>
      <c r="K47" s="3">
        <v>5</v>
      </c>
      <c r="L47" s="3">
        <v>0</v>
      </c>
      <c r="M47" s="3">
        <v>55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</v>
      </c>
      <c r="V47" s="3">
        <v>0</v>
      </c>
      <c r="W47" s="3">
        <v>0</v>
      </c>
      <c r="X47" s="3">
        <v>0</v>
      </c>
      <c r="Y47" s="3">
        <v>273</v>
      </c>
      <c r="Z47" s="3">
        <v>0</v>
      </c>
      <c r="AA47" s="3">
        <v>0</v>
      </c>
      <c r="AB47" s="3">
        <v>0</v>
      </c>
      <c r="AC47" s="3">
        <f t="shared" si="1"/>
        <v>335</v>
      </c>
      <c r="AD47" s="3">
        <v>2</v>
      </c>
      <c r="AE47" s="16">
        <f t="shared" si="2"/>
        <v>5.9347181008902079E-3</v>
      </c>
    </row>
    <row r="48" spans="1:31" x14ac:dyDescent="0.5">
      <c r="A48" s="3">
        <v>22</v>
      </c>
      <c r="B48" s="3">
        <v>47</v>
      </c>
      <c r="C48" s="3">
        <v>1032</v>
      </c>
      <c r="D48" s="3">
        <v>4</v>
      </c>
      <c r="E48" s="3">
        <v>214</v>
      </c>
      <c r="F48" s="3">
        <v>303</v>
      </c>
      <c r="G48" s="3">
        <v>393</v>
      </c>
      <c r="H48" s="16">
        <f t="shared" si="0"/>
        <v>0.3808139534883721</v>
      </c>
      <c r="I48" s="3">
        <v>850</v>
      </c>
      <c r="J48" s="3">
        <v>0</v>
      </c>
      <c r="K48" s="3">
        <v>3</v>
      </c>
      <c r="L48" s="3">
        <v>1</v>
      </c>
      <c r="M48" s="3">
        <v>74</v>
      </c>
      <c r="N48" s="3">
        <v>0</v>
      </c>
      <c r="O48" s="3">
        <v>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309</v>
      </c>
      <c r="Z48" s="3">
        <v>4</v>
      </c>
      <c r="AA48" s="3">
        <v>0</v>
      </c>
      <c r="AB48" s="3">
        <v>0</v>
      </c>
      <c r="AC48" s="3">
        <f t="shared" si="1"/>
        <v>393</v>
      </c>
      <c r="AD48" s="3">
        <v>0</v>
      </c>
      <c r="AE48" s="16">
        <f t="shared" si="2"/>
        <v>0</v>
      </c>
    </row>
    <row r="49" spans="1:31" x14ac:dyDescent="0.5">
      <c r="A49" s="3">
        <v>22</v>
      </c>
      <c r="B49" s="3">
        <v>48</v>
      </c>
      <c r="C49" s="3">
        <v>1450</v>
      </c>
      <c r="D49" s="3">
        <v>4</v>
      </c>
      <c r="E49" s="3">
        <v>175</v>
      </c>
      <c r="F49" s="3">
        <v>325</v>
      </c>
      <c r="G49" s="3">
        <v>463</v>
      </c>
      <c r="H49" s="16">
        <f t="shared" si="0"/>
        <v>0.31931034482758619</v>
      </c>
      <c r="I49" s="3">
        <v>1300</v>
      </c>
      <c r="J49" s="3">
        <v>1</v>
      </c>
      <c r="K49" s="3">
        <v>34</v>
      </c>
      <c r="L49" s="3">
        <v>0</v>
      </c>
      <c r="M49" s="3">
        <v>34</v>
      </c>
      <c r="N49" s="3">
        <v>0</v>
      </c>
      <c r="O49" s="3">
        <v>0</v>
      </c>
      <c r="P49" s="3">
        <v>0</v>
      </c>
      <c r="Q49" s="3">
        <v>1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2</v>
      </c>
      <c r="Y49" s="3">
        <v>378</v>
      </c>
      <c r="Z49" s="3">
        <v>2</v>
      </c>
      <c r="AA49" s="3">
        <v>0</v>
      </c>
      <c r="AB49" s="3">
        <v>0</v>
      </c>
      <c r="AC49" s="3">
        <f t="shared" si="1"/>
        <v>452</v>
      </c>
      <c r="AD49" s="3">
        <v>11</v>
      </c>
      <c r="AE49" s="16">
        <f t="shared" si="2"/>
        <v>2.3758099352051837E-2</v>
      </c>
    </row>
    <row r="50" spans="1:31" x14ac:dyDescent="0.5">
      <c r="A50" s="3">
        <v>22</v>
      </c>
      <c r="B50" s="3">
        <v>49</v>
      </c>
      <c r="C50" s="3">
        <v>1536</v>
      </c>
      <c r="D50" s="3">
        <v>5</v>
      </c>
      <c r="E50" s="3">
        <v>95</v>
      </c>
      <c r="F50" s="3">
        <v>254</v>
      </c>
      <c r="G50" s="3">
        <v>421</v>
      </c>
      <c r="H50" s="16">
        <f t="shared" si="0"/>
        <v>0.27408854166666669</v>
      </c>
      <c r="I50" s="3">
        <v>1400</v>
      </c>
      <c r="J50" s="3">
        <v>0</v>
      </c>
      <c r="K50" s="3">
        <v>28</v>
      </c>
      <c r="L50" s="3">
        <v>0</v>
      </c>
      <c r="M50" s="3">
        <v>32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348</v>
      </c>
      <c r="Z50" s="3">
        <v>3</v>
      </c>
      <c r="AA50" s="3">
        <v>0</v>
      </c>
      <c r="AB50" s="3">
        <v>0</v>
      </c>
      <c r="AC50" s="3">
        <f t="shared" si="1"/>
        <v>411</v>
      </c>
      <c r="AD50" s="3">
        <v>10</v>
      </c>
      <c r="AE50" s="16">
        <f t="shared" si="2"/>
        <v>2.3752969121140142E-2</v>
      </c>
    </row>
    <row r="51" spans="1:31" x14ac:dyDescent="0.5">
      <c r="A51" s="3">
        <v>22</v>
      </c>
      <c r="B51" s="3">
        <v>50</v>
      </c>
      <c r="C51" s="3">
        <v>1486</v>
      </c>
      <c r="D51" s="3">
        <v>4</v>
      </c>
      <c r="E51" s="3">
        <v>201</v>
      </c>
      <c r="F51" s="3">
        <v>365</v>
      </c>
      <c r="G51" s="3">
        <v>555</v>
      </c>
      <c r="H51" s="16">
        <f t="shared" si="0"/>
        <v>0.37348586810228801</v>
      </c>
      <c r="I51" s="3">
        <v>1350</v>
      </c>
      <c r="J51" s="3">
        <v>0</v>
      </c>
      <c r="K51" s="3">
        <v>34</v>
      </c>
      <c r="L51" s="3">
        <v>0</v>
      </c>
      <c r="M51" s="3">
        <v>27</v>
      </c>
      <c r="N51" s="3">
        <v>0</v>
      </c>
      <c r="O51" s="3">
        <v>1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2</v>
      </c>
      <c r="Y51" s="3">
        <v>478</v>
      </c>
      <c r="Z51" s="3">
        <v>5</v>
      </c>
      <c r="AA51" s="3">
        <v>0</v>
      </c>
      <c r="AB51" s="3">
        <v>0</v>
      </c>
      <c r="AC51" s="3">
        <f t="shared" si="1"/>
        <v>547</v>
      </c>
      <c r="AD51" s="3">
        <v>5</v>
      </c>
      <c r="AE51" s="16">
        <f t="shared" si="2"/>
        <v>9.057971014492754E-3</v>
      </c>
    </row>
    <row r="52" spans="1:31" x14ac:dyDescent="0.5">
      <c r="A52" s="3">
        <v>22</v>
      </c>
      <c r="B52" s="3">
        <v>51</v>
      </c>
      <c r="C52" s="3">
        <v>985</v>
      </c>
      <c r="D52" s="3">
        <v>4</v>
      </c>
      <c r="E52" s="3">
        <v>152</v>
      </c>
      <c r="F52" s="3">
        <v>251</v>
      </c>
      <c r="G52" s="3">
        <v>318</v>
      </c>
      <c r="H52" s="16">
        <f t="shared" si="0"/>
        <v>0.32284263959390863</v>
      </c>
      <c r="I52" s="3">
        <v>750</v>
      </c>
      <c r="J52" s="3">
        <v>0</v>
      </c>
      <c r="K52" s="3">
        <v>15</v>
      </c>
      <c r="L52" s="3">
        <v>0</v>
      </c>
      <c r="M52" s="3">
        <v>69</v>
      </c>
      <c r="N52" s="3">
        <v>0</v>
      </c>
      <c r="O52" s="3">
        <v>2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</v>
      </c>
      <c r="Y52" s="3">
        <v>226</v>
      </c>
      <c r="Z52" s="3">
        <v>3</v>
      </c>
      <c r="AA52" s="3">
        <v>0</v>
      </c>
      <c r="AB52" s="3">
        <v>0</v>
      </c>
      <c r="AC52" s="3">
        <f t="shared" si="1"/>
        <v>316</v>
      </c>
      <c r="AD52" s="3">
        <v>2</v>
      </c>
      <c r="AE52" s="16">
        <f t="shared" si="2"/>
        <v>6.2893081761006293E-3</v>
      </c>
    </row>
    <row r="53" spans="1:31" x14ac:dyDescent="0.5">
      <c r="A53" s="3">
        <v>22</v>
      </c>
      <c r="B53" s="3">
        <v>52</v>
      </c>
      <c r="C53" s="3">
        <v>1215</v>
      </c>
      <c r="D53" s="3">
        <v>2</v>
      </c>
      <c r="E53" s="3">
        <v>197</v>
      </c>
      <c r="F53" s="3">
        <v>337</v>
      </c>
      <c r="G53" s="3">
        <v>406</v>
      </c>
      <c r="H53" s="16">
        <f t="shared" si="0"/>
        <v>0.33415637860082303</v>
      </c>
      <c r="I53" s="3">
        <v>950</v>
      </c>
      <c r="J53" s="3">
        <v>0</v>
      </c>
      <c r="K53" s="3">
        <v>28</v>
      </c>
      <c r="L53" s="3">
        <v>0</v>
      </c>
      <c r="M53" s="3">
        <v>98</v>
      </c>
      <c r="N53" s="3">
        <v>0</v>
      </c>
      <c r="O53" s="3">
        <v>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237</v>
      </c>
      <c r="Z53" s="3">
        <v>4</v>
      </c>
      <c r="AA53" s="3">
        <v>0</v>
      </c>
      <c r="AB53" s="3">
        <v>0</v>
      </c>
      <c r="AC53" s="3">
        <f t="shared" si="1"/>
        <v>371</v>
      </c>
      <c r="AD53" s="3">
        <v>14</v>
      </c>
      <c r="AE53" s="16">
        <f t="shared" si="2"/>
        <v>3.6363636363636362E-2</v>
      </c>
    </row>
    <row r="54" spans="1:31" x14ac:dyDescent="0.5">
      <c r="A54" s="3">
        <v>22</v>
      </c>
      <c r="B54" s="3">
        <v>53</v>
      </c>
      <c r="C54" s="3">
        <v>1054</v>
      </c>
      <c r="D54" s="3">
        <v>2</v>
      </c>
      <c r="E54" s="3">
        <v>235</v>
      </c>
      <c r="F54" s="3">
        <v>430</v>
      </c>
      <c r="G54" s="3">
        <v>506</v>
      </c>
      <c r="H54" s="16">
        <f t="shared" si="0"/>
        <v>0.48007590132827327</v>
      </c>
      <c r="I54" s="3">
        <v>900</v>
      </c>
      <c r="J54" s="3">
        <v>1</v>
      </c>
      <c r="K54" s="3">
        <v>5</v>
      </c>
      <c r="L54" s="3">
        <v>0</v>
      </c>
      <c r="M54" s="3">
        <v>18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1</v>
      </c>
      <c r="U54" s="3">
        <v>0</v>
      </c>
      <c r="V54" s="3">
        <v>0</v>
      </c>
      <c r="W54" s="3">
        <v>0</v>
      </c>
      <c r="X54" s="3">
        <v>0</v>
      </c>
      <c r="Y54" s="3">
        <v>465</v>
      </c>
      <c r="Z54" s="3">
        <v>10</v>
      </c>
      <c r="AA54" s="3">
        <v>0</v>
      </c>
      <c r="AB54" s="3">
        <v>0</v>
      </c>
      <c r="AC54" s="3">
        <f t="shared" si="1"/>
        <v>500</v>
      </c>
      <c r="AD54" s="3">
        <v>6</v>
      </c>
      <c r="AE54" s="16">
        <f t="shared" si="2"/>
        <v>1.1857707509881422E-2</v>
      </c>
    </row>
    <row r="55" spans="1:31" x14ac:dyDescent="0.5">
      <c r="A55" s="3">
        <v>22</v>
      </c>
      <c r="B55" s="3">
        <v>54</v>
      </c>
      <c r="C55" s="3">
        <v>903</v>
      </c>
      <c r="D55" s="3">
        <v>1</v>
      </c>
      <c r="E55" s="3">
        <v>102</v>
      </c>
      <c r="F55" s="3">
        <v>214</v>
      </c>
      <c r="G55" s="3">
        <v>288</v>
      </c>
      <c r="H55" s="16">
        <f t="shared" si="0"/>
        <v>0.31893687707641194</v>
      </c>
      <c r="I55" s="3">
        <v>750</v>
      </c>
      <c r="J55" s="3">
        <v>0</v>
      </c>
      <c r="K55" s="3">
        <v>9</v>
      </c>
      <c r="L55" s="3">
        <v>2</v>
      </c>
      <c r="M55" s="3">
        <v>37</v>
      </c>
      <c r="N55" s="3">
        <v>0</v>
      </c>
      <c r="O55" s="3">
        <v>0</v>
      </c>
      <c r="P55" s="3">
        <v>1</v>
      </c>
      <c r="Q55" s="3">
        <v>1</v>
      </c>
      <c r="R55" s="3">
        <v>2</v>
      </c>
      <c r="S55" s="3">
        <v>0</v>
      </c>
      <c r="T55" s="3">
        <v>0</v>
      </c>
      <c r="U55" s="3">
        <v>1</v>
      </c>
      <c r="V55" s="3">
        <v>0</v>
      </c>
      <c r="W55" s="3">
        <v>0</v>
      </c>
      <c r="X55" s="3">
        <v>0</v>
      </c>
      <c r="Y55" s="3">
        <v>230</v>
      </c>
      <c r="Z55" s="3">
        <v>2</v>
      </c>
      <c r="AA55" s="3">
        <v>0</v>
      </c>
      <c r="AB55" s="3">
        <v>0</v>
      </c>
      <c r="AC55" s="3">
        <f t="shared" si="1"/>
        <v>285</v>
      </c>
      <c r="AD55" s="3">
        <v>3</v>
      </c>
      <c r="AE55" s="16">
        <f t="shared" si="2"/>
        <v>1.0416666666666666E-2</v>
      </c>
    </row>
    <row r="56" spans="1:31" x14ac:dyDescent="0.5">
      <c r="A56" s="3">
        <v>22</v>
      </c>
      <c r="B56" s="3">
        <v>55</v>
      </c>
      <c r="C56" s="3">
        <v>1485</v>
      </c>
      <c r="D56" s="3">
        <v>6</v>
      </c>
      <c r="E56" s="3">
        <v>135</v>
      </c>
      <c r="F56" s="3">
        <v>312</v>
      </c>
      <c r="G56" s="3">
        <v>455</v>
      </c>
      <c r="H56" s="16">
        <f t="shared" si="0"/>
        <v>0.30639730639730639</v>
      </c>
      <c r="I56" s="3">
        <v>1200</v>
      </c>
      <c r="J56" s="3">
        <v>0</v>
      </c>
      <c r="K56" s="3">
        <v>48</v>
      </c>
      <c r="L56" s="3">
        <v>0</v>
      </c>
      <c r="M56" s="3">
        <v>57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343</v>
      </c>
      <c r="Z56" s="3">
        <v>2</v>
      </c>
      <c r="AA56" s="3">
        <v>0</v>
      </c>
      <c r="AB56" s="3">
        <v>0</v>
      </c>
      <c r="AC56" s="3">
        <f t="shared" si="1"/>
        <v>450</v>
      </c>
      <c r="AD56" s="3">
        <v>5</v>
      </c>
      <c r="AE56" s="16">
        <f t="shared" si="2"/>
        <v>1.098901098901099E-2</v>
      </c>
    </row>
    <row r="57" spans="1:31" x14ac:dyDescent="0.5">
      <c r="A57" s="3">
        <v>22</v>
      </c>
      <c r="B57" s="3">
        <v>56</v>
      </c>
      <c r="C57" s="3">
        <v>1325</v>
      </c>
      <c r="D57" s="3">
        <v>2</v>
      </c>
      <c r="E57" s="3">
        <v>166</v>
      </c>
      <c r="F57" s="3">
        <v>364</v>
      </c>
      <c r="G57" s="3">
        <v>586</v>
      </c>
      <c r="H57" s="16">
        <f t="shared" si="0"/>
        <v>0.44226415094339622</v>
      </c>
      <c r="I57" s="3">
        <v>1150</v>
      </c>
      <c r="J57" s="3">
        <v>1</v>
      </c>
      <c r="K57" s="3">
        <v>17</v>
      </c>
      <c r="L57" s="3">
        <v>0</v>
      </c>
      <c r="M57" s="3">
        <v>41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1</v>
      </c>
      <c r="Y57" s="3">
        <v>506</v>
      </c>
      <c r="Z57" s="3">
        <v>16</v>
      </c>
      <c r="AA57" s="3">
        <v>0</v>
      </c>
      <c r="AB57" s="3">
        <v>0</v>
      </c>
      <c r="AC57" s="3">
        <f t="shared" si="1"/>
        <v>582</v>
      </c>
      <c r="AD57" s="3">
        <v>4</v>
      </c>
      <c r="AE57" s="16">
        <f t="shared" si="2"/>
        <v>6.8259385665529011E-3</v>
      </c>
    </row>
    <row r="58" spans="1:31" x14ac:dyDescent="0.5">
      <c r="A58" s="3">
        <v>22</v>
      </c>
      <c r="B58" s="3">
        <v>57</v>
      </c>
      <c r="C58" s="3">
        <v>963</v>
      </c>
      <c r="D58" s="3">
        <v>4</v>
      </c>
      <c r="E58" s="3">
        <v>146</v>
      </c>
      <c r="F58" s="3">
        <v>465</v>
      </c>
      <c r="G58" s="3">
        <v>577</v>
      </c>
      <c r="H58" s="16">
        <f t="shared" si="0"/>
        <v>0.59916926272066462</v>
      </c>
      <c r="I58" s="3">
        <v>800</v>
      </c>
      <c r="J58" s="3">
        <v>2</v>
      </c>
      <c r="K58" s="3">
        <v>11</v>
      </c>
      <c r="L58" s="3">
        <v>0</v>
      </c>
      <c r="M58" s="3">
        <v>32</v>
      </c>
      <c r="N58" s="3">
        <v>0</v>
      </c>
      <c r="O58" s="3">
        <v>21</v>
      </c>
      <c r="P58" s="3">
        <v>0</v>
      </c>
      <c r="Q58" s="3">
        <v>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491</v>
      </c>
      <c r="Z58" s="3">
        <v>10</v>
      </c>
      <c r="AA58" s="3">
        <v>0</v>
      </c>
      <c r="AB58" s="3">
        <v>0</v>
      </c>
      <c r="AC58" s="3">
        <f t="shared" si="1"/>
        <v>568</v>
      </c>
      <c r="AD58" s="3">
        <v>9</v>
      </c>
      <c r="AE58" s="16">
        <f t="shared" si="2"/>
        <v>1.5597920277296361E-2</v>
      </c>
    </row>
    <row r="59" spans="1:31" x14ac:dyDescent="0.5">
      <c r="A59" s="3">
        <v>22</v>
      </c>
      <c r="B59" s="3">
        <v>58</v>
      </c>
      <c r="C59" s="3">
        <v>1417</v>
      </c>
      <c r="D59" s="3">
        <v>3</v>
      </c>
      <c r="E59" s="3">
        <v>300</v>
      </c>
      <c r="F59" s="3">
        <v>465</v>
      </c>
      <c r="G59" s="3">
        <v>561</v>
      </c>
      <c r="H59" s="16">
        <f t="shared" si="0"/>
        <v>0.39590684544812987</v>
      </c>
      <c r="I59" s="3">
        <v>1100</v>
      </c>
      <c r="J59" s="3">
        <v>2</v>
      </c>
      <c r="K59" s="3">
        <v>30</v>
      </c>
      <c r="L59" s="3">
        <v>0</v>
      </c>
      <c r="M59" s="3">
        <v>24</v>
      </c>
      <c r="N59" s="3">
        <v>0</v>
      </c>
      <c r="O59" s="3">
        <v>0</v>
      </c>
      <c r="P59" s="3">
        <v>0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440</v>
      </c>
      <c r="Z59" s="3">
        <v>53</v>
      </c>
      <c r="AA59" s="3">
        <v>0</v>
      </c>
      <c r="AB59" s="3">
        <v>0</v>
      </c>
      <c r="AC59" s="3">
        <f t="shared" si="1"/>
        <v>550</v>
      </c>
      <c r="AD59" s="3">
        <v>10</v>
      </c>
      <c r="AE59" s="16">
        <f t="shared" si="2"/>
        <v>1.7857142857142856E-2</v>
      </c>
    </row>
    <row r="60" spans="1:31" x14ac:dyDescent="0.5">
      <c r="A60" s="3">
        <v>22</v>
      </c>
      <c r="B60" s="3">
        <v>59</v>
      </c>
      <c r="C60" s="3">
        <v>1202</v>
      </c>
      <c r="D60" s="3">
        <v>3</v>
      </c>
      <c r="E60" s="3">
        <v>215</v>
      </c>
      <c r="F60" s="3">
        <v>501</v>
      </c>
      <c r="G60" s="3">
        <v>648</v>
      </c>
      <c r="H60" s="16">
        <f t="shared" si="0"/>
        <v>0.5391014975041597</v>
      </c>
      <c r="I60" s="3">
        <v>1050</v>
      </c>
      <c r="J60" s="3">
        <v>1</v>
      </c>
      <c r="K60" s="3">
        <v>6</v>
      </c>
      <c r="L60" s="3">
        <v>0</v>
      </c>
      <c r="M60" s="3">
        <v>158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2</v>
      </c>
      <c r="V60" s="3">
        <v>0</v>
      </c>
      <c r="W60" s="3">
        <v>0</v>
      </c>
      <c r="X60" s="3">
        <v>0</v>
      </c>
      <c r="Y60" s="3">
        <v>461</v>
      </c>
      <c r="Z60" s="3">
        <v>17</v>
      </c>
      <c r="AA60" s="3">
        <v>0</v>
      </c>
      <c r="AB60" s="3">
        <v>0</v>
      </c>
      <c r="AC60" s="3">
        <f t="shared" si="1"/>
        <v>645</v>
      </c>
      <c r="AD60" s="3">
        <v>3</v>
      </c>
      <c r="AE60" s="16">
        <f t="shared" si="2"/>
        <v>4.6296296296296294E-3</v>
      </c>
    </row>
    <row r="61" spans="1:31" x14ac:dyDescent="0.5">
      <c r="A61" s="3">
        <v>22</v>
      </c>
      <c r="B61" s="3">
        <v>60</v>
      </c>
      <c r="C61" s="3">
        <v>454</v>
      </c>
      <c r="D61" s="3">
        <v>1</v>
      </c>
      <c r="E61" s="3">
        <v>121</v>
      </c>
      <c r="F61" s="3">
        <v>202</v>
      </c>
      <c r="G61" s="3">
        <v>288</v>
      </c>
      <c r="H61" s="16">
        <f t="shared" si="0"/>
        <v>0.63436123348017626</v>
      </c>
      <c r="I61" s="3">
        <v>450</v>
      </c>
      <c r="J61" s="3">
        <v>1</v>
      </c>
      <c r="K61" s="3">
        <v>7</v>
      </c>
      <c r="L61" s="3">
        <v>0</v>
      </c>
      <c r="M61" s="3">
        <v>19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260</v>
      </c>
      <c r="Z61" s="3">
        <v>0</v>
      </c>
      <c r="AA61" s="3">
        <v>0</v>
      </c>
      <c r="AB61" s="3">
        <v>0</v>
      </c>
      <c r="AC61" s="3">
        <f t="shared" si="1"/>
        <v>287</v>
      </c>
      <c r="AD61" s="3">
        <v>0</v>
      </c>
      <c r="AE61" s="16">
        <f t="shared" si="2"/>
        <v>0</v>
      </c>
    </row>
    <row r="62" spans="1:31" x14ac:dyDescent="0.5">
      <c r="A62" s="3">
        <v>22</v>
      </c>
      <c r="B62" s="3">
        <v>61</v>
      </c>
      <c r="C62" s="3">
        <v>623</v>
      </c>
      <c r="D62" s="3">
        <v>2</v>
      </c>
      <c r="E62" s="3">
        <v>154</v>
      </c>
      <c r="F62" s="3">
        <v>298</v>
      </c>
      <c r="G62" s="3">
        <v>356</v>
      </c>
      <c r="H62" s="16">
        <f t="shared" si="0"/>
        <v>0.5714285714285714</v>
      </c>
      <c r="I62" s="3">
        <v>550</v>
      </c>
      <c r="J62" s="3">
        <v>1</v>
      </c>
      <c r="K62" s="3">
        <v>73</v>
      </c>
      <c r="L62" s="3">
        <v>0</v>
      </c>
      <c r="M62" s="3">
        <v>13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260</v>
      </c>
      <c r="Z62" s="3">
        <v>3</v>
      </c>
      <c r="AA62" s="3">
        <v>0</v>
      </c>
      <c r="AB62" s="3">
        <v>0</v>
      </c>
      <c r="AC62" s="3">
        <f t="shared" si="1"/>
        <v>351</v>
      </c>
      <c r="AD62" s="3">
        <v>5</v>
      </c>
      <c r="AE62" s="16">
        <f t="shared" si="2"/>
        <v>1.4044943820224719E-2</v>
      </c>
    </row>
    <row r="63" spans="1:31" x14ac:dyDescent="0.5">
      <c r="A63" s="3">
        <v>22</v>
      </c>
      <c r="B63" s="3">
        <v>62</v>
      </c>
      <c r="C63" s="3">
        <v>541</v>
      </c>
      <c r="D63" s="3">
        <v>2</v>
      </c>
      <c r="E63" s="3">
        <v>102</v>
      </c>
      <c r="F63" s="3">
        <v>185</v>
      </c>
      <c r="G63" s="3">
        <v>275</v>
      </c>
      <c r="H63" s="16">
        <f t="shared" si="0"/>
        <v>0.50831792975970425</v>
      </c>
      <c r="I63" s="3">
        <v>500</v>
      </c>
      <c r="J63" s="3">
        <v>0</v>
      </c>
      <c r="K63" s="3">
        <v>51</v>
      </c>
      <c r="L63" s="3">
        <v>0</v>
      </c>
      <c r="M63" s="3">
        <v>13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1</v>
      </c>
      <c r="W63" s="3">
        <v>0</v>
      </c>
      <c r="X63" s="3">
        <v>0</v>
      </c>
      <c r="Y63" s="3">
        <v>205</v>
      </c>
      <c r="Z63" s="3">
        <v>1</v>
      </c>
      <c r="AA63" s="3">
        <v>0</v>
      </c>
      <c r="AB63" s="3">
        <v>0</v>
      </c>
      <c r="AC63" s="3">
        <f t="shared" si="1"/>
        <v>271</v>
      </c>
      <c r="AD63" s="3">
        <v>4</v>
      </c>
      <c r="AE63" s="16">
        <f t="shared" si="2"/>
        <v>1.4545454545454545E-2</v>
      </c>
    </row>
    <row r="64" spans="1:31" x14ac:dyDescent="0.5">
      <c r="A64" s="3">
        <v>22</v>
      </c>
      <c r="B64" s="3">
        <v>63</v>
      </c>
      <c r="C64" s="3">
        <v>166</v>
      </c>
      <c r="D64" s="3">
        <v>1</v>
      </c>
      <c r="E64" s="3">
        <v>73</v>
      </c>
      <c r="F64" s="3">
        <v>102</v>
      </c>
      <c r="G64" s="3">
        <v>106</v>
      </c>
      <c r="H64" s="16">
        <f t="shared" si="0"/>
        <v>0.63855421686746983</v>
      </c>
      <c r="I64" s="3">
        <v>200</v>
      </c>
      <c r="J64" s="3">
        <v>0</v>
      </c>
      <c r="K64" s="3">
        <v>0</v>
      </c>
      <c r="L64" s="3">
        <v>0</v>
      </c>
      <c r="M64" s="3">
        <v>3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3</v>
      </c>
      <c r="V64" s="3">
        <v>0</v>
      </c>
      <c r="W64" s="3">
        <v>0</v>
      </c>
      <c r="X64" s="3">
        <v>0</v>
      </c>
      <c r="Y64" s="3">
        <v>97</v>
      </c>
      <c r="Z64" s="3">
        <v>2</v>
      </c>
      <c r="AA64" s="3">
        <v>0</v>
      </c>
      <c r="AB64" s="3">
        <v>0</v>
      </c>
      <c r="AC64" s="3">
        <f t="shared" si="1"/>
        <v>105</v>
      </c>
      <c r="AD64" s="3">
        <v>1</v>
      </c>
      <c r="AE64" s="16">
        <f t="shared" si="2"/>
        <v>9.433962264150943E-3</v>
      </c>
    </row>
    <row r="65" spans="1:31" x14ac:dyDescent="0.5">
      <c r="A65" s="3">
        <v>22</v>
      </c>
      <c r="B65" s="3">
        <v>64</v>
      </c>
      <c r="C65" s="3">
        <v>981</v>
      </c>
      <c r="D65" s="3">
        <v>3</v>
      </c>
      <c r="E65" s="3">
        <v>99</v>
      </c>
      <c r="F65" s="3">
        <v>190</v>
      </c>
      <c r="G65" s="3">
        <v>299</v>
      </c>
      <c r="H65" s="16">
        <f t="shared" si="0"/>
        <v>0.30479102956167176</v>
      </c>
      <c r="I65" s="3">
        <v>850</v>
      </c>
      <c r="J65" s="3">
        <v>2</v>
      </c>
      <c r="K65" s="3">
        <v>14</v>
      </c>
      <c r="L65" s="3">
        <v>2</v>
      </c>
      <c r="M65" s="3">
        <v>18</v>
      </c>
      <c r="N65" s="3">
        <v>0</v>
      </c>
      <c r="O65" s="3">
        <v>2</v>
      </c>
      <c r="P65" s="3">
        <v>1</v>
      </c>
      <c r="Q65" s="3">
        <v>1</v>
      </c>
      <c r="R65" s="3">
        <v>0</v>
      </c>
      <c r="S65" s="3">
        <v>0</v>
      </c>
      <c r="T65" s="3">
        <v>0</v>
      </c>
      <c r="U65" s="3">
        <v>1</v>
      </c>
      <c r="V65" s="3">
        <v>0</v>
      </c>
      <c r="W65" s="3">
        <v>0</v>
      </c>
      <c r="X65" s="3">
        <v>1</v>
      </c>
      <c r="Y65" s="3">
        <v>248</v>
      </c>
      <c r="Z65" s="3">
        <v>0</v>
      </c>
      <c r="AA65" s="3">
        <v>0</v>
      </c>
      <c r="AB65" s="3">
        <v>0</v>
      </c>
      <c r="AC65" s="3">
        <f t="shared" si="1"/>
        <v>290</v>
      </c>
      <c r="AD65" s="3">
        <v>9</v>
      </c>
      <c r="AE65" s="16">
        <f t="shared" si="2"/>
        <v>3.0100334448160536E-2</v>
      </c>
    </row>
    <row r="66" spans="1:31" x14ac:dyDescent="0.5">
      <c r="A66" s="3">
        <v>22</v>
      </c>
      <c r="B66" s="3">
        <v>65</v>
      </c>
      <c r="C66" s="3">
        <v>1413</v>
      </c>
      <c r="D66" s="3">
        <v>7</v>
      </c>
      <c r="E66" s="3">
        <v>145</v>
      </c>
      <c r="F66" s="3">
        <v>390</v>
      </c>
      <c r="G66" s="3">
        <v>782</v>
      </c>
      <c r="H66" s="16">
        <f t="shared" si="0"/>
        <v>0.5534324133050248</v>
      </c>
      <c r="I66" s="3">
        <v>1250</v>
      </c>
      <c r="J66" s="3">
        <v>1</v>
      </c>
      <c r="K66" s="3">
        <v>32</v>
      </c>
      <c r="L66" s="3">
        <v>0</v>
      </c>
      <c r="M66" s="3">
        <v>16</v>
      </c>
      <c r="N66" s="3">
        <v>0</v>
      </c>
      <c r="O66" s="3">
        <v>1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1</v>
      </c>
      <c r="W66" s="3">
        <v>0</v>
      </c>
      <c r="X66" s="3">
        <v>0</v>
      </c>
      <c r="Y66" s="3">
        <v>720</v>
      </c>
      <c r="Z66" s="3">
        <v>3</v>
      </c>
      <c r="AA66" s="3">
        <v>0</v>
      </c>
      <c r="AB66" s="3">
        <v>0</v>
      </c>
      <c r="AC66" s="3">
        <f t="shared" si="1"/>
        <v>774</v>
      </c>
      <c r="AD66" s="3">
        <v>8</v>
      </c>
      <c r="AE66" s="16">
        <f t="shared" si="2"/>
        <v>1.0230179028132993E-2</v>
      </c>
    </row>
    <row r="67" spans="1:31" x14ac:dyDescent="0.5">
      <c r="A67" s="3">
        <v>22</v>
      </c>
      <c r="B67" s="3">
        <v>66</v>
      </c>
      <c r="C67" s="3">
        <v>1474</v>
      </c>
      <c r="D67" s="3">
        <v>6</v>
      </c>
      <c r="E67" s="3">
        <v>90</v>
      </c>
      <c r="F67" s="3">
        <v>233</v>
      </c>
      <c r="G67" s="3">
        <v>297</v>
      </c>
      <c r="H67" s="16">
        <f t="shared" ref="H67:H131" si="3">G67/C67</f>
        <v>0.20149253731343283</v>
      </c>
      <c r="I67" s="3">
        <v>1250</v>
      </c>
      <c r="J67" s="3">
        <v>0</v>
      </c>
      <c r="K67" s="3">
        <v>14</v>
      </c>
      <c r="L67" s="3">
        <v>0</v>
      </c>
      <c r="M67" s="3">
        <v>36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233</v>
      </c>
      <c r="Z67" s="3">
        <v>2</v>
      </c>
      <c r="AA67" s="3">
        <v>0</v>
      </c>
      <c r="AB67" s="3">
        <v>0</v>
      </c>
      <c r="AC67" s="3">
        <f t="shared" ref="AC67:AC131" si="4">SUM(J67:AB67)</f>
        <v>285</v>
      </c>
      <c r="AD67" s="3">
        <v>12</v>
      </c>
      <c r="AE67" s="16">
        <f t="shared" ref="AE67:AE131" si="5">AD67/(AC67+AD67)</f>
        <v>4.0404040404040407E-2</v>
      </c>
    </row>
    <row r="68" spans="1:31" x14ac:dyDescent="0.5">
      <c r="A68" s="3">
        <v>22</v>
      </c>
      <c r="B68" s="3">
        <v>67</v>
      </c>
      <c r="C68" s="3">
        <v>1410</v>
      </c>
      <c r="D68" s="3">
        <v>6</v>
      </c>
      <c r="E68" s="3">
        <v>108</v>
      </c>
      <c r="F68" s="3">
        <v>233</v>
      </c>
      <c r="G68" s="3">
        <v>342</v>
      </c>
      <c r="H68" s="16">
        <f t="shared" si="3"/>
        <v>0.24255319148936169</v>
      </c>
      <c r="I68" s="3">
        <v>1200</v>
      </c>
      <c r="J68" s="3">
        <v>0</v>
      </c>
      <c r="K68" s="3">
        <v>26</v>
      </c>
      <c r="L68" s="3">
        <v>3</v>
      </c>
      <c r="M68" s="3">
        <v>13</v>
      </c>
      <c r="N68" s="3">
        <v>0</v>
      </c>
      <c r="O68" s="3">
        <v>2</v>
      </c>
      <c r="P68" s="3">
        <v>0</v>
      </c>
      <c r="Q68" s="3">
        <v>0</v>
      </c>
      <c r="R68" s="3">
        <v>1</v>
      </c>
      <c r="S68" s="3">
        <v>0</v>
      </c>
      <c r="T68" s="3">
        <v>1</v>
      </c>
      <c r="U68" s="3">
        <v>0</v>
      </c>
      <c r="V68" s="3">
        <v>0</v>
      </c>
      <c r="W68" s="3">
        <v>0</v>
      </c>
      <c r="X68" s="3">
        <v>1</v>
      </c>
      <c r="Y68" s="3">
        <v>282</v>
      </c>
      <c r="Z68" s="3">
        <v>7</v>
      </c>
      <c r="AA68" s="3">
        <v>0</v>
      </c>
      <c r="AB68" s="3">
        <v>0</v>
      </c>
      <c r="AC68" s="3">
        <f t="shared" si="4"/>
        <v>336</v>
      </c>
      <c r="AD68" s="3">
        <v>6</v>
      </c>
      <c r="AE68" s="16">
        <f t="shared" si="5"/>
        <v>1.7543859649122806E-2</v>
      </c>
    </row>
    <row r="69" spans="1:31" x14ac:dyDescent="0.5">
      <c r="A69" s="3">
        <v>22</v>
      </c>
      <c r="B69" s="3">
        <v>68</v>
      </c>
      <c r="C69" s="3">
        <v>1322</v>
      </c>
      <c r="D69" s="3">
        <v>7</v>
      </c>
      <c r="E69" s="3">
        <v>132</v>
      </c>
      <c r="F69" s="3">
        <v>329</v>
      </c>
      <c r="G69" s="3">
        <v>468</v>
      </c>
      <c r="H69" s="16">
        <f t="shared" si="3"/>
        <v>0.35400907715582453</v>
      </c>
      <c r="I69" s="3">
        <v>1150</v>
      </c>
      <c r="J69" s="3">
        <v>0</v>
      </c>
      <c r="K69" s="3">
        <v>29</v>
      </c>
      <c r="L69" s="3">
        <v>0</v>
      </c>
      <c r="M69" s="3">
        <v>23</v>
      </c>
      <c r="N69" s="3">
        <v>0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407</v>
      </c>
      <c r="Z69" s="3">
        <v>0</v>
      </c>
      <c r="AA69" s="3">
        <v>0</v>
      </c>
      <c r="AB69" s="3">
        <v>0</v>
      </c>
      <c r="AC69" s="3">
        <f t="shared" si="4"/>
        <v>460</v>
      </c>
      <c r="AD69" s="3">
        <v>4</v>
      </c>
      <c r="AE69" s="16">
        <f t="shared" si="5"/>
        <v>8.6206896551724137E-3</v>
      </c>
    </row>
    <row r="70" spans="1:31" x14ac:dyDescent="0.5">
      <c r="A70" s="3">
        <v>22</v>
      </c>
      <c r="B70" s="3">
        <v>69</v>
      </c>
      <c r="C70" s="3">
        <v>1469</v>
      </c>
      <c r="D70" s="3">
        <v>8</v>
      </c>
      <c r="E70" s="3">
        <v>137</v>
      </c>
      <c r="F70" s="3">
        <v>311</v>
      </c>
      <c r="G70" s="3">
        <v>448</v>
      </c>
      <c r="H70" s="16">
        <f t="shared" si="3"/>
        <v>0.30496936691626958</v>
      </c>
      <c r="I70" s="3">
        <v>1300</v>
      </c>
      <c r="J70" s="3">
        <v>2</v>
      </c>
      <c r="K70" s="3">
        <v>23</v>
      </c>
      <c r="L70" s="3">
        <v>0</v>
      </c>
      <c r="M70" s="3">
        <v>61</v>
      </c>
      <c r="N70" s="3">
        <v>0</v>
      </c>
      <c r="O70" s="3">
        <v>1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354</v>
      </c>
      <c r="Z70" s="3">
        <v>1</v>
      </c>
      <c r="AA70" s="3">
        <v>0</v>
      </c>
      <c r="AB70" s="3">
        <v>0</v>
      </c>
      <c r="AC70" s="3">
        <f t="shared" si="4"/>
        <v>442</v>
      </c>
      <c r="AD70" s="3">
        <v>4</v>
      </c>
      <c r="AE70" s="16">
        <f t="shared" si="5"/>
        <v>8.9686098654708519E-3</v>
      </c>
    </row>
    <row r="71" spans="1:31" x14ac:dyDescent="0.5">
      <c r="A71" s="3">
        <v>22</v>
      </c>
      <c r="B71" s="3">
        <v>70</v>
      </c>
      <c r="C71" s="3">
        <v>839</v>
      </c>
      <c r="D71" s="3">
        <v>1</v>
      </c>
      <c r="E71" s="3">
        <v>146</v>
      </c>
      <c r="F71" s="3">
        <v>242</v>
      </c>
      <c r="G71" s="3">
        <v>332</v>
      </c>
      <c r="H71" s="16">
        <f t="shared" si="3"/>
        <v>0.3957091775923719</v>
      </c>
      <c r="I71" s="3">
        <v>750</v>
      </c>
      <c r="J71" s="3">
        <v>0</v>
      </c>
      <c r="K71" s="3">
        <v>68</v>
      </c>
      <c r="L71" s="3">
        <v>1</v>
      </c>
      <c r="M71" s="3">
        <v>68</v>
      </c>
      <c r="N71" s="3">
        <v>0</v>
      </c>
      <c r="O71" s="3">
        <v>0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189</v>
      </c>
      <c r="Z71" s="3">
        <v>5</v>
      </c>
      <c r="AA71" s="3">
        <v>0</v>
      </c>
      <c r="AB71" s="3">
        <v>0</v>
      </c>
      <c r="AC71" s="3">
        <f t="shared" si="4"/>
        <v>332</v>
      </c>
      <c r="AD71" s="3">
        <v>0</v>
      </c>
      <c r="AE71" s="16">
        <f t="shared" si="5"/>
        <v>0</v>
      </c>
    </row>
    <row r="72" spans="1:31" x14ac:dyDescent="0.5">
      <c r="A72" s="3">
        <v>22</v>
      </c>
      <c r="B72" s="3">
        <v>71</v>
      </c>
      <c r="C72" s="3">
        <v>1087</v>
      </c>
      <c r="D72" s="3">
        <v>4</v>
      </c>
      <c r="E72" s="3">
        <v>149</v>
      </c>
      <c r="F72" s="3">
        <v>254</v>
      </c>
      <c r="G72" s="3">
        <v>333</v>
      </c>
      <c r="H72" s="16">
        <f t="shared" si="3"/>
        <v>0.30634774609015641</v>
      </c>
      <c r="I72" s="3">
        <v>950</v>
      </c>
      <c r="J72" s="3">
        <v>0</v>
      </c>
      <c r="K72" s="3">
        <v>0</v>
      </c>
      <c r="L72" s="3">
        <v>0</v>
      </c>
      <c r="M72" s="3">
        <v>37</v>
      </c>
      <c r="N72" s="3">
        <v>0</v>
      </c>
      <c r="O72" s="3">
        <v>0</v>
      </c>
      <c r="P72" s="3">
        <v>1</v>
      </c>
      <c r="Q72" s="3">
        <v>1</v>
      </c>
      <c r="R72" s="3">
        <v>0</v>
      </c>
      <c r="S72" s="3">
        <v>0</v>
      </c>
      <c r="T72" s="3">
        <v>0</v>
      </c>
      <c r="U72" s="3">
        <v>1</v>
      </c>
      <c r="V72" s="3">
        <v>1</v>
      </c>
      <c r="W72" s="3">
        <v>0</v>
      </c>
      <c r="X72" s="3">
        <v>2</v>
      </c>
      <c r="Y72" s="3">
        <v>283</v>
      </c>
      <c r="Z72" s="3">
        <v>2</v>
      </c>
      <c r="AA72" s="3">
        <v>0</v>
      </c>
      <c r="AB72" s="3">
        <v>0</v>
      </c>
      <c r="AC72" s="3">
        <f t="shared" si="4"/>
        <v>328</v>
      </c>
      <c r="AD72" s="3">
        <v>5</v>
      </c>
      <c r="AE72" s="16">
        <f t="shared" si="5"/>
        <v>1.5015015015015015E-2</v>
      </c>
    </row>
    <row r="73" spans="1:31" x14ac:dyDescent="0.5">
      <c r="A73" s="3">
        <v>22</v>
      </c>
      <c r="B73" s="3">
        <v>72</v>
      </c>
      <c r="C73" s="3">
        <v>1258</v>
      </c>
      <c r="D73" s="3">
        <v>4</v>
      </c>
      <c r="E73" s="3">
        <v>158</v>
      </c>
      <c r="F73" s="3">
        <v>237</v>
      </c>
      <c r="G73" s="3">
        <v>344</v>
      </c>
      <c r="H73" s="16">
        <f t="shared" si="3"/>
        <v>0.27344992050874406</v>
      </c>
      <c r="I73" s="3">
        <v>1100</v>
      </c>
      <c r="J73" s="3">
        <v>1</v>
      </c>
      <c r="K73" s="3">
        <v>12</v>
      </c>
      <c r="L73" s="3">
        <v>0</v>
      </c>
      <c r="M73" s="3">
        <v>58</v>
      </c>
      <c r="N73" s="3">
        <v>0</v>
      </c>
      <c r="O73" s="3">
        <v>2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249</v>
      </c>
      <c r="Z73" s="3">
        <v>9</v>
      </c>
      <c r="AA73" s="3">
        <v>0</v>
      </c>
      <c r="AB73" s="3">
        <v>0</v>
      </c>
      <c r="AC73" s="3">
        <f t="shared" si="4"/>
        <v>331</v>
      </c>
      <c r="AD73" s="3">
        <v>10</v>
      </c>
      <c r="AE73" s="16">
        <f t="shared" si="5"/>
        <v>2.932551319648094E-2</v>
      </c>
    </row>
    <row r="74" spans="1:31" x14ac:dyDescent="0.5">
      <c r="A74" s="3">
        <v>22</v>
      </c>
      <c r="B74" s="3">
        <v>73</v>
      </c>
      <c r="C74" s="3">
        <v>803</v>
      </c>
      <c r="D74" s="3">
        <v>2</v>
      </c>
      <c r="E74" s="3">
        <v>191</v>
      </c>
      <c r="F74" s="3">
        <v>355</v>
      </c>
      <c r="G74" s="3">
        <v>415</v>
      </c>
      <c r="H74" s="16">
        <f t="shared" si="3"/>
        <v>0.51681195516811951</v>
      </c>
      <c r="I74" s="3">
        <v>650</v>
      </c>
      <c r="J74" s="3">
        <v>0</v>
      </c>
      <c r="K74" s="3">
        <v>21</v>
      </c>
      <c r="L74" s="3">
        <v>0</v>
      </c>
      <c r="M74" s="3">
        <v>127</v>
      </c>
      <c r="N74" s="3">
        <v>0</v>
      </c>
      <c r="O74" s="3">
        <v>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260</v>
      </c>
      <c r="Z74" s="3">
        <v>0</v>
      </c>
      <c r="AA74" s="3">
        <v>0</v>
      </c>
      <c r="AB74" s="3">
        <v>0</v>
      </c>
      <c r="AC74" s="3">
        <f t="shared" si="4"/>
        <v>411</v>
      </c>
      <c r="AD74" s="3">
        <v>4</v>
      </c>
      <c r="AE74" s="16">
        <f t="shared" si="5"/>
        <v>9.6385542168674707E-3</v>
      </c>
    </row>
    <row r="75" spans="1:31" x14ac:dyDescent="0.5">
      <c r="A75" s="3">
        <v>22</v>
      </c>
      <c r="B75" s="3">
        <v>74</v>
      </c>
      <c r="C75" s="3">
        <v>593</v>
      </c>
      <c r="D75" s="3">
        <v>2</v>
      </c>
      <c r="E75" s="3">
        <v>97</v>
      </c>
      <c r="F75" s="3">
        <v>172</v>
      </c>
      <c r="G75" s="3">
        <v>270</v>
      </c>
      <c r="H75" s="16">
        <f t="shared" si="3"/>
        <v>0.45531197301854975</v>
      </c>
      <c r="I75" s="3">
        <v>500</v>
      </c>
      <c r="J75" s="3">
        <v>0</v>
      </c>
      <c r="K75" s="3">
        <v>53</v>
      </c>
      <c r="L75" s="3">
        <v>0</v>
      </c>
      <c r="M75" s="3">
        <v>8</v>
      </c>
      <c r="N75" s="3">
        <v>0</v>
      </c>
      <c r="O75" s="3">
        <v>0</v>
      </c>
      <c r="P75" s="3">
        <v>1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1</v>
      </c>
      <c r="Y75" s="3">
        <v>168</v>
      </c>
      <c r="Z75" s="3">
        <v>4</v>
      </c>
      <c r="AA75" s="3">
        <v>0</v>
      </c>
      <c r="AB75" s="3">
        <v>0</v>
      </c>
      <c r="AC75" s="3">
        <f t="shared" si="4"/>
        <v>235</v>
      </c>
      <c r="AD75" s="3">
        <v>32</v>
      </c>
      <c r="AE75" s="16">
        <f t="shared" si="5"/>
        <v>0.1198501872659176</v>
      </c>
    </row>
    <row r="76" spans="1:31" x14ac:dyDescent="0.5">
      <c r="A76" s="3">
        <v>22</v>
      </c>
      <c r="B76" s="3">
        <v>75</v>
      </c>
      <c r="C76" s="3">
        <v>489</v>
      </c>
      <c r="D76" s="3">
        <v>2</v>
      </c>
      <c r="E76" s="3">
        <v>74</v>
      </c>
      <c r="F76" s="3">
        <v>152</v>
      </c>
      <c r="G76" s="3">
        <v>257</v>
      </c>
      <c r="H76" s="16">
        <f t="shared" si="3"/>
        <v>0.52556237218813906</v>
      </c>
      <c r="I76" s="3">
        <v>450</v>
      </c>
      <c r="J76" s="3">
        <v>0</v>
      </c>
      <c r="K76" s="3">
        <v>14</v>
      </c>
      <c r="L76" s="3">
        <v>0</v>
      </c>
      <c r="M76" s="3">
        <v>23</v>
      </c>
      <c r="N76" s="3">
        <v>0</v>
      </c>
      <c r="O76" s="3">
        <v>1</v>
      </c>
      <c r="P76" s="3">
        <v>0</v>
      </c>
      <c r="Q76" s="3">
        <v>0</v>
      </c>
      <c r="R76" s="3">
        <v>1</v>
      </c>
      <c r="S76" s="3">
        <v>0</v>
      </c>
      <c r="T76" s="3">
        <v>0</v>
      </c>
      <c r="U76" s="3">
        <v>1</v>
      </c>
      <c r="V76" s="3">
        <v>0</v>
      </c>
      <c r="W76" s="3">
        <v>0</v>
      </c>
      <c r="X76" s="3">
        <v>0</v>
      </c>
      <c r="Y76" s="3">
        <v>203</v>
      </c>
      <c r="Z76" s="3">
        <v>7</v>
      </c>
      <c r="AA76" s="3">
        <v>0</v>
      </c>
      <c r="AB76" s="3">
        <v>0</v>
      </c>
      <c r="AC76" s="3">
        <f t="shared" si="4"/>
        <v>250</v>
      </c>
      <c r="AD76" s="3">
        <v>7</v>
      </c>
      <c r="AE76" s="16">
        <f t="shared" si="5"/>
        <v>2.7237354085603113E-2</v>
      </c>
    </row>
    <row r="77" spans="1:31" x14ac:dyDescent="0.5">
      <c r="A77" s="3">
        <v>22</v>
      </c>
      <c r="B77" s="3">
        <v>76</v>
      </c>
      <c r="C77" s="3">
        <v>1199</v>
      </c>
      <c r="D77" s="3">
        <v>0</v>
      </c>
      <c r="E77" s="3">
        <v>150</v>
      </c>
      <c r="F77" s="3">
        <v>240</v>
      </c>
      <c r="G77" s="3">
        <v>406</v>
      </c>
      <c r="H77" s="16">
        <f t="shared" si="3"/>
        <v>0.33861551292743952</v>
      </c>
      <c r="I77" s="3">
        <v>1000</v>
      </c>
      <c r="J77" s="3">
        <v>1</v>
      </c>
      <c r="K77" s="3">
        <v>27</v>
      </c>
      <c r="L77" s="3">
        <v>0</v>
      </c>
      <c r="M77" s="3">
        <v>27</v>
      </c>
      <c r="N77" s="3">
        <v>0</v>
      </c>
      <c r="O77" s="3">
        <v>0</v>
      </c>
      <c r="P77" s="3">
        <v>1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341</v>
      </c>
      <c r="Z77" s="3">
        <v>4</v>
      </c>
      <c r="AA77" s="3">
        <v>0</v>
      </c>
      <c r="AB77" s="3">
        <v>0</v>
      </c>
      <c r="AC77" s="3">
        <f t="shared" si="4"/>
        <v>401</v>
      </c>
      <c r="AD77" s="3">
        <v>2</v>
      </c>
      <c r="AE77" s="16">
        <f t="shared" si="5"/>
        <v>4.9627791563275434E-3</v>
      </c>
    </row>
    <row r="78" spans="1:31" x14ac:dyDescent="0.5">
      <c r="A78" s="3">
        <v>22</v>
      </c>
      <c r="B78" s="3">
        <v>77</v>
      </c>
      <c r="C78" s="3">
        <v>1069</v>
      </c>
      <c r="D78" s="3">
        <v>2</v>
      </c>
      <c r="E78" s="3">
        <v>125</v>
      </c>
      <c r="F78" s="3">
        <v>275</v>
      </c>
      <c r="G78" s="3">
        <v>348</v>
      </c>
      <c r="H78" s="16">
        <f t="shared" si="3"/>
        <v>0.32553788587464921</v>
      </c>
      <c r="I78" s="3">
        <v>950</v>
      </c>
      <c r="J78" s="3">
        <v>1</v>
      </c>
      <c r="K78" s="3">
        <v>32</v>
      </c>
      <c r="L78" s="3">
        <v>1</v>
      </c>
      <c r="M78" s="3">
        <v>74</v>
      </c>
      <c r="N78" s="3">
        <v>0</v>
      </c>
      <c r="O78" s="3">
        <v>2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2</v>
      </c>
      <c r="V78" s="3">
        <v>0</v>
      </c>
      <c r="W78" s="3">
        <v>0</v>
      </c>
      <c r="X78" s="3">
        <v>0</v>
      </c>
      <c r="Y78" s="3">
        <v>221</v>
      </c>
      <c r="Z78" s="3">
        <v>8</v>
      </c>
      <c r="AA78" s="3">
        <v>0</v>
      </c>
      <c r="AB78" s="3">
        <v>0</v>
      </c>
      <c r="AC78" s="3">
        <f t="shared" si="4"/>
        <v>341</v>
      </c>
      <c r="AD78" s="3">
        <v>7</v>
      </c>
      <c r="AE78" s="16">
        <f t="shared" si="5"/>
        <v>2.0114942528735632E-2</v>
      </c>
    </row>
    <row r="79" spans="1:31" x14ac:dyDescent="0.5">
      <c r="A79" s="3">
        <v>22</v>
      </c>
      <c r="B79" s="3">
        <v>78</v>
      </c>
      <c r="C79" s="3">
        <v>1284</v>
      </c>
      <c r="D79" s="3">
        <v>4</v>
      </c>
      <c r="E79" s="3">
        <v>220</v>
      </c>
      <c r="F79" s="3">
        <v>461</v>
      </c>
      <c r="G79" s="3">
        <v>547</v>
      </c>
      <c r="H79" s="16">
        <f t="shared" si="3"/>
        <v>0.42601246105919005</v>
      </c>
      <c r="I79" s="3">
        <v>1150</v>
      </c>
      <c r="J79" s="3">
        <v>2</v>
      </c>
      <c r="K79" s="3">
        <v>19</v>
      </c>
      <c r="L79" s="3">
        <v>2</v>
      </c>
      <c r="M79" s="3">
        <v>167</v>
      </c>
      <c r="N79" s="3">
        <v>0</v>
      </c>
      <c r="O79" s="3">
        <v>0</v>
      </c>
      <c r="P79" s="3">
        <v>12</v>
      </c>
      <c r="Q79" s="3">
        <v>1</v>
      </c>
      <c r="R79" s="3">
        <v>1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1</v>
      </c>
      <c r="Y79" s="3">
        <v>325</v>
      </c>
      <c r="Z79" s="3">
        <v>7</v>
      </c>
      <c r="AA79" s="3">
        <v>0</v>
      </c>
      <c r="AB79" s="3">
        <v>0</v>
      </c>
      <c r="AC79" s="3">
        <f t="shared" si="4"/>
        <v>537</v>
      </c>
      <c r="AD79" s="3">
        <v>10</v>
      </c>
      <c r="AE79" s="16">
        <f t="shared" si="5"/>
        <v>1.8281535648994516E-2</v>
      </c>
    </row>
    <row r="80" spans="1:31" x14ac:dyDescent="0.5">
      <c r="A80" s="3">
        <v>22</v>
      </c>
      <c r="B80" s="3">
        <v>79</v>
      </c>
      <c r="C80" s="3">
        <v>1555</v>
      </c>
      <c r="D80" s="3">
        <v>3</v>
      </c>
      <c r="E80" s="3">
        <v>190</v>
      </c>
      <c r="F80" s="3">
        <v>370</v>
      </c>
      <c r="G80" s="3">
        <v>582</v>
      </c>
      <c r="H80" s="16">
        <f t="shared" si="3"/>
        <v>0.37427652733118971</v>
      </c>
      <c r="I80" s="3">
        <v>1450</v>
      </c>
      <c r="J80" s="3">
        <v>1</v>
      </c>
      <c r="K80" s="3">
        <v>93</v>
      </c>
      <c r="L80" s="3">
        <v>1</v>
      </c>
      <c r="M80" s="3">
        <v>83</v>
      </c>
      <c r="N80" s="3">
        <v>0</v>
      </c>
      <c r="O80" s="3">
        <v>1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388</v>
      </c>
      <c r="Z80" s="3">
        <v>0</v>
      </c>
      <c r="AA80" s="3">
        <v>0</v>
      </c>
      <c r="AB80" s="3">
        <v>0</v>
      </c>
      <c r="AC80" s="3">
        <f t="shared" si="4"/>
        <v>567</v>
      </c>
      <c r="AD80" s="3">
        <v>15</v>
      </c>
      <c r="AE80" s="16">
        <f t="shared" si="5"/>
        <v>2.5773195876288658E-2</v>
      </c>
    </row>
    <row r="81" spans="1:31" x14ac:dyDescent="0.5">
      <c r="A81" s="3">
        <v>22</v>
      </c>
      <c r="B81" s="3">
        <v>80</v>
      </c>
      <c r="C81" s="3">
        <v>847</v>
      </c>
      <c r="D81" s="3">
        <v>2</v>
      </c>
      <c r="E81" s="3">
        <v>104</v>
      </c>
      <c r="F81" s="3">
        <v>208</v>
      </c>
      <c r="G81" s="3">
        <v>283</v>
      </c>
      <c r="H81" s="16">
        <f t="shared" si="3"/>
        <v>0.33412042502951594</v>
      </c>
      <c r="I81" s="3">
        <v>650</v>
      </c>
      <c r="J81" s="3">
        <v>1</v>
      </c>
      <c r="K81" s="3">
        <v>31</v>
      </c>
      <c r="L81" s="3">
        <v>1</v>
      </c>
      <c r="M81" s="3">
        <v>67</v>
      </c>
      <c r="N81" s="3">
        <v>0</v>
      </c>
      <c r="O81" s="3">
        <v>2</v>
      </c>
      <c r="P81" s="3">
        <v>1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173</v>
      </c>
      <c r="Z81" s="3">
        <v>1</v>
      </c>
      <c r="AA81" s="3">
        <v>0</v>
      </c>
      <c r="AB81" s="3">
        <v>0</v>
      </c>
      <c r="AC81" s="3">
        <f t="shared" si="4"/>
        <v>277</v>
      </c>
      <c r="AD81" s="3">
        <v>4</v>
      </c>
      <c r="AE81" s="16">
        <f t="shared" si="5"/>
        <v>1.4234875444839857E-2</v>
      </c>
    </row>
    <row r="82" spans="1:31" x14ac:dyDescent="0.5">
      <c r="A82" s="3">
        <v>22</v>
      </c>
      <c r="B82" s="3">
        <v>81</v>
      </c>
      <c r="C82" s="3">
        <v>1063</v>
      </c>
      <c r="D82" s="3">
        <v>1</v>
      </c>
      <c r="E82" s="3">
        <v>274</v>
      </c>
      <c r="F82" s="3">
        <v>428</v>
      </c>
      <c r="G82" s="3">
        <v>506</v>
      </c>
      <c r="H82" s="16">
        <f t="shared" si="3"/>
        <v>0.47601128880526811</v>
      </c>
      <c r="I82" s="3">
        <v>800</v>
      </c>
      <c r="J82" s="3">
        <v>0</v>
      </c>
      <c r="K82" s="3">
        <v>51</v>
      </c>
      <c r="L82" s="3">
        <v>0</v>
      </c>
      <c r="M82" s="3">
        <v>33</v>
      </c>
      <c r="N82" s="3">
        <v>0</v>
      </c>
      <c r="O82" s="3">
        <v>0</v>
      </c>
      <c r="P82" s="3">
        <v>2</v>
      </c>
      <c r="Q82" s="3">
        <v>0</v>
      </c>
      <c r="R82" s="3">
        <v>2</v>
      </c>
      <c r="S82" s="3">
        <v>0</v>
      </c>
      <c r="T82" s="3">
        <v>0</v>
      </c>
      <c r="U82" s="3">
        <v>1</v>
      </c>
      <c r="V82" s="3">
        <v>0</v>
      </c>
      <c r="W82" s="3">
        <v>0</v>
      </c>
      <c r="X82" s="3">
        <v>2</v>
      </c>
      <c r="Y82" s="3">
        <v>393</v>
      </c>
      <c r="Z82" s="3">
        <v>6</v>
      </c>
      <c r="AA82" s="3">
        <v>0</v>
      </c>
      <c r="AB82" s="3">
        <v>0</v>
      </c>
      <c r="AC82" s="3">
        <f t="shared" si="4"/>
        <v>490</v>
      </c>
      <c r="AD82" s="3">
        <v>15</v>
      </c>
      <c r="AE82" s="16">
        <f t="shared" si="5"/>
        <v>2.9702970297029702E-2</v>
      </c>
    </row>
    <row r="83" spans="1:31" x14ac:dyDescent="0.5">
      <c r="A83" s="3">
        <v>22</v>
      </c>
      <c r="B83" s="3">
        <v>82</v>
      </c>
      <c r="C83" s="3">
        <v>1151</v>
      </c>
      <c r="D83" s="3">
        <v>5</v>
      </c>
      <c r="E83" s="3">
        <v>240</v>
      </c>
      <c r="F83" s="3">
        <v>340</v>
      </c>
      <c r="G83" s="3">
        <v>420</v>
      </c>
      <c r="H83" s="16">
        <f t="shared" si="3"/>
        <v>0.36490008688097308</v>
      </c>
      <c r="I83" s="3">
        <v>950</v>
      </c>
      <c r="J83" s="3">
        <v>0</v>
      </c>
      <c r="K83" s="3">
        <v>31</v>
      </c>
      <c r="L83" s="3">
        <v>3</v>
      </c>
      <c r="M83" s="3">
        <v>79</v>
      </c>
      <c r="N83" s="3">
        <v>0</v>
      </c>
      <c r="O83" s="3">
        <v>1</v>
      </c>
      <c r="P83" s="3">
        <v>0</v>
      </c>
      <c r="Q83" s="3">
        <v>2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</v>
      </c>
      <c r="Y83" s="3">
        <v>288</v>
      </c>
      <c r="Z83" s="3">
        <v>4</v>
      </c>
      <c r="AA83" s="3">
        <v>0</v>
      </c>
      <c r="AB83" s="3">
        <v>0</v>
      </c>
      <c r="AC83" s="3">
        <f t="shared" si="4"/>
        <v>409</v>
      </c>
      <c r="AD83" s="3">
        <v>11</v>
      </c>
      <c r="AE83" s="16">
        <f t="shared" si="5"/>
        <v>2.6190476190476191E-2</v>
      </c>
    </row>
    <row r="84" spans="1:31" x14ac:dyDescent="0.5">
      <c r="A84" s="3">
        <v>22</v>
      </c>
      <c r="B84" s="3">
        <v>83</v>
      </c>
      <c r="C84" s="3">
        <v>1279</v>
      </c>
      <c r="D84" s="3">
        <v>5</v>
      </c>
      <c r="E84" s="3">
        <v>125</v>
      </c>
      <c r="F84" s="3">
        <v>290</v>
      </c>
      <c r="G84" s="3">
        <v>408</v>
      </c>
      <c r="H84" s="16">
        <f t="shared" si="3"/>
        <v>0.3189992181391712</v>
      </c>
      <c r="I84" s="3">
        <v>1150</v>
      </c>
      <c r="J84" s="3">
        <v>0</v>
      </c>
      <c r="K84" s="3">
        <v>47</v>
      </c>
      <c r="L84" s="3">
        <v>0</v>
      </c>
      <c r="M84" s="3">
        <v>16</v>
      </c>
      <c r="N84" s="3">
        <v>0</v>
      </c>
      <c r="O84" s="3">
        <v>1</v>
      </c>
      <c r="P84" s="3">
        <v>1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324</v>
      </c>
      <c r="Z84" s="3">
        <v>2</v>
      </c>
      <c r="AA84" s="3">
        <v>0</v>
      </c>
      <c r="AB84" s="3">
        <v>0</v>
      </c>
      <c r="AC84" s="3">
        <f t="shared" si="4"/>
        <v>391</v>
      </c>
      <c r="AD84" s="3">
        <v>17</v>
      </c>
      <c r="AE84" s="16">
        <f t="shared" si="5"/>
        <v>4.1666666666666664E-2</v>
      </c>
    </row>
    <row r="85" spans="1:31" x14ac:dyDescent="0.5">
      <c r="A85" s="3">
        <v>22</v>
      </c>
      <c r="B85" s="3">
        <v>84</v>
      </c>
      <c r="C85" s="3">
        <v>947</v>
      </c>
      <c r="D85" s="3">
        <v>2</v>
      </c>
      <c r="E85" s="3">
        <v>157</v>
      </c>
      <c r="F85" s="3">
        <v>390</v>
      </c>
      <c r="G85" s="3">
        <v>586</v>
      </c>
      <c r="H85" s="16">
        <f t="shared" si="3"/>
        <v>0.61879619852164736</v>
      </c>
      <c r="I85" s="3">
        <v>800</v>
      </c>
      <c r="J85" s="3">
        <v>0</v>
      </c>
      <c r="K85" s="3">
        <v>28</v>
      </c>
      <c r="L85" s="3">
        <v>0</v>
      </c>
      <c r="M85" s="3">
        <v>10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469</v>
      </c>
      <c r="Z85" s="3">
        <v>46</v>
      </c>
      <c r="AA85" s="3">
        <v>0</v>
      </c>
      <c r="AB85" s="3">
        <v>0</v>
      </c>
      <c r="AC85" s="3">
        <f t="shared" si="4"/>
        <v>553</v>
      </c>
      <c r="AD85" s="3">
        <v>33</v>
      </c>
      <c r="AE85" s="16">
        <f t="shared" si="5"/>
        <v>5.6313993174061432E-2</v>
      </c>
    </row>
    <row r="86" spans="1:31" x14ac:dyDescent="0.5">
      <c r="A86" s="3">
        <v>22</v>
      </c>
      <c r="B86" s="3">
        <v>85</v>
      </c>
      <c r="C86" s="3">
        <v>1103</v>
      </c>
      <c r="D86" s="3">
        <v>7</v>
      </c>
      <c r="E86" s="3">
        <v>110</v>
      </c>
      <c r="F86" s="3">
        <v>245</v>
      </c>
      <c r="G86" s="3">
        <v>331</v>
      </c>
      <c r="H86" s="16">
        <f t="shared" si="3"/>
        <v>0.30009066183136901</v>
      </c>
      <c r="I86" s="3">
        <v>950</v>
      </c>
      <c r="J86" s="3">
        <v>2</v>
      </c>
      <c r="K86" s="3">
        <v>17</v>
      </c>
      <c r="L86" s="3">
        <v>0</v>
      </c>
      <c r="M86" s="3">
        <v>24</v>
      </c>
      <c r="N86" s="3">
        <v>0</v>
      </c>
      <c r="O86" s="3">
        <v>0</v>
      </c>
      <c r="P86" s="3">
        <v>1</v>
      </c>
      <c r="Q86" s="3">
        <v>0</v>
      </c>
      <c r="R86" s="3">
        <v>1</v>
      </c>
      <c r="S86" s="3">
        <v>0</v>
      </c>
      <c r="T86" s="3">
        <v>0</v>
      </c>
      <c r="U86" s="3">
        <v>0</v>
      </c>
      <c r="V86" s="3">
        <v>1</v>
      </c>
      <c r="W86" s="3">
        <v>0</v>
      </c>
      <c r="X86" s="3">
        <v>1</v>
      </c>
      <c r="Y86" s="3">
        <v>274</v>
      </c>
      <c r="Z86" s="3">
        <v>2</v>
      </c>
      <c r="AA86" s="3">
        <v>0</v>
      </c>
      <c r="AB86" s="3">
        <v>0</v>
      </c>
      <c r="AC86" s="3">
        <f t="shared" si="4"/>
        <v>323</v>
      </c>
      <c r="AD86" s="3">
        <v>4</v>
      </c>
      <c r="AE86" s="16">
        <f t="shared" si="5"/>
        <v>1.2232415902140673E-2</v>
      </c>
    </row>
    <row r="87" spans="1:31" x14ac:dyDescent="0.5">
      <c r="A87" s="3">
        <v>22</v>
      </c>
      <c r="B87" s="3">
        <v>86</v>
      </c>
      <c r="C87" s="3">
        <v>681</v>
      </c>
      <c r="D87" s="3">
        <v>9</v>
      </c>
      <c r="E87" s="3">
        <v>69</v>
      </c>
      <c r="F87" s="3">
        <v>111</v>
      </c>
      <c r="G87" s="3">
        <v>150</v>
      </c>
      <c r="H87" s="16">
        <f t="shared" si="3"/>
        <v>0.22026431718061673</v>
      </c>
      <c r="I87" s="3">
        <v>550</v>
      </c>
      <c r="J87" s="3">
        <v>1</v>
      </c>
      <c r="K87" s="3">
        <v>3</v>
      </c>
      <c r="L87" s="3">
        <v>0</v>
      </c>
      <c r="M87" s="3">
        <v>18</v>
      </c>
      <c r="N87" s="3">
        <v>0</v>
      </c>
      <c r="O87" s="3">
        <v>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120</v>
      </c>
      <c r="Z87" s="3">
        <v>1</v>
      </c>
      <c r="AA87" s="3">
        <v>0</v>
      </c>
      <c r="AB87" s="3">
        <v>0</v>
      </c>
      <c r="AC87" s="3">
        <f t="shared" si="4"/>
        <v>145</v>
      </c>
      <c r="AD87" s="3">
        <v>5</v>
      </c>
      <c r="AE87" s="16">
        <f t="shared" si="5"/>
        <v>3.3333333333333333E-2</v>
      </c>
    </row>
    <row r="88" spans="1:31" x14ac:dyDescent="0.5">
      <c r="A88" s="3">
        <v>22</v>
      </c>
      <c r="B88" s="3">
        <v>87</v>
      </c>
      <c r="C88" s="3">
        <v>332</v>
      </c>
      <c r="D88" s="3">
        <v>0</v>
      </c>
      <c r="E88" s="3">
        <v>90</v>
      </c>
      <c r="F88" s="3">
        <v>135</v>
      </c>
      <c r="G88" s="3">
        <v>146</v>
      </c>
      <c r="H88" s="16">
        <f t="shared" si="3"/>
        <v>0.43975903614457829</v>
      </c>
      <c r="I88" s="3">
        <v>350</v>
      </c>
      <c r="J88" s="3">
        <v>0</v>
      </c>
      <c r="K88" s="3">
        <v>7</v>
      </c>
      <c r="L88" s="3">
        <v>0</v>
      </c>
      <c r="M88" s="3">
        <v>29</v>
      </c>
      <c r="N88" s="3">
        <v>0</v>
      </c>
      <c r="O88" s="3">
        <v>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1</v>
      </c>
      <c r="V88" s="3">
        <v>0</v>
      </c>
      <c r="W88" s="3">
        <v>0</v>
      </c>
      <c r="X88" s="3">
        <v>0</v>
      </c>
      <c r="Y88" s="3">
        <v>101</v>
      </c>
      <c r="Z88" s="3">
        <v>2</v>
      </c>
      <c r="AA88" s="3">
        <v>0</v>
      </c>
      <c r="AB88" s="3">
        <v>0</v>
      </c>
      <c r="AC88" s="3">
        <f t="shared" si="4"/>
        <v>141</v>
      </c>
      <c r="AD88" s="3">
        <v>5</v>
      </c>
      <c r="AE88" s="16">
        <f t="shared" si="5"/>
        <v>3.4246575342465752E-2</v>
      </c>
    </row>
    <row r="89" spans="1:31" x14ac:dyDescent="0.5">
      <c r="A89" s="3">
        <v>22</v>
      </c>
      <c r="B89" s="3">
        <v>88</v>
      </c>
      <c r="C89" s="3">
        <v>1075</v>
      </c>
      <c r="D89" s="3">
        <v>6</v>
      </c>
      <c r="E89" s="3">
        <v>133</v>
      </c>
      <c r="F89" s="3">
        <v>255</v>
      </c>
      <c r="G89" s="3">
        <v>361</v>
      </c>
      <c r="H89" s="16">
        <f t="shared" si="3"/>
        <v>0.33581395348837212</v>
      </c>
      <c r="I89" s="3">
        <v>1000</v>
      </c>
      <c r="J89" s="3">
        <v>0</v>
      </c>
      <c r="K89" s="3">
        <v>47</v>
      </c>
      <c r="L89" s="3">
        <v>1</v>
      </c>
      <c r="M89" s="3">
        <v>41</v>
      </c>
      <c r="N89" s="3">
        <v>0</v>
      </c>
      <c r="O89" s="3">
        <v>1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2</v>
      </c>
      <c r="Y89" s="3">
        <v>262</v>
      </c>
      <c r="Z89" s="3">
        <v>2</v>
      </c>
      <c r="AA89" s="3">
        <v>0</v>
      </c>
      <c r="AB89" s="3">
        <v>0</v>
      </c>
      <c r="AC89" s="3">
        <f t="shared" si="4"/>
        <v>356</v>
      </c>
      <c r="AD89" s="3">
        <v>5</v>
      </c>
      <c r="AE89" s="16">
        <f t="shared" si="5"/>
        <v>1.3850415512465374E-2</v>
      </c>
    </row>
    <row r="90" spans="1:31" x14ac:dyDescent="0.5">
      <c r="A90" s="3">
        <v>22</v>
      </c>
      <c r="B90" s="3">
        <v>89</v>
      </c>
      <c r="C90" s="3">
        <v>981</v>
      </c>
      <c r="D90" s="3">
        <v>7</v>
      </c>
      <c r="E90" s="3">
        <v>151</v>
      </c>
      <c r="F90" s="3">
        <v>314</v>
      </c>
      <c r="G90" s="3">
        <v>448</v>
      </c>
      <c r="H90" s="16">
        <f t="shared" si="3"/>
        <v>0.45667686034658511</v>
      </c>
      <c r="I90" s="3">
        <v>900</v>
      </c>
      <c r="J90" s="3">
        <v>1</v>
      </c>
      <c r="K90" s="3">
        <v>36</v>
      </c>
      <c r="L90" s="3">
        <v>0</v>
      </c>
      <c r="M90" s="3">
        <v>30</v>
      </c>
      <c r="N90" s="3">
        <v>0</v>
      </c>
      <c r="O90" s="3">
        <v>1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370</v>
      </c>
      <c r="Z90" s="3">
        <v>3</v>
      </c>
      <c r="AA90" s="3">
        <v>0</v>
      </c>
      <c r="AB90" s="3">
        <v>0</v>
      </c>
      <c r="AC90" s="3">
        <f t="shared" si="4"/>
        <v>441</v>
      </c>
      <c r="AD90" s="3">
        <v>7</v>
      </c>
      <c r="AE90" s="16">
        <f t="shared" si="5"/>
        <v>1.5625E-2</v>
      </c>
    </row>
    <row r="91" spans="1:31" x14ac:dyDescent="0.5">
      <c r="A91" s="3">
        <v>22</v>
      </c>
      <c r="B91" s="3">
        <v>90</v>
      </c>
      <c r="C91" s="3">
        <v>814</v>
      </c>
      <c r="D91" s="3">
        <v>1</v>
      </c>
      <c r="E91" s="3">
        <v>90</v>
      </c>
      <c r="F91" s="3">
        <v>224</v>
      </c>
      <c r="G91" s="3">
        <v>268</v>
      </c>
      <c r="H91" s="16">
        <f t="shared" si="3"/>
        <v>0.32923832923832924</v>
      </c>
      <c r="I91" s="3">
        <v>650</v>
      </c>
      <c r="J91" s="3">
        <v>1</v>
      </c>
      <c r="K91" s="3">
        <v>23</v>
      </c>
      <c r="L91" s="3">
        <v>0</v>
      </c>
      <c r="M91" s="3">
        <v>16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1</v>
      </c>
      <c r="Y91" s="3">
        <v>221</v>
      </c>
      <c r="Z91" s="3">
        <v>4</v>
      </c>
      <c r="AA91" s="3">
        <v>0</v>
      </c>
      <c r="AB91" s="3">
        <v>0</v>
      </c>
      <c r="AC91" s="3">
        <f t="shared" si="4"/>
        <v>266</v>
      </c>
      <c r="AD91" s="3">
        <v>2</v>
      </c>
      <c r="AE91" s="16">
        <f t="shared" si="5"/>
        <v>7.462686567164179E-3</v>
      </c>
    </row>
    <row r="92" spans="1:31" s="5" customFormat="1" x14ac:dyDescent="0.5">
      <c r="A92" s="8">
        <v>22</v>
      </c>
      <c r="B92" s="8" t="s">
        <v>0</v>
      </c>
      <c r="C92" s="8">
        <f>SUM(C2:C91)</f>
        <v>99717</v>
      </c>
      <c r="D92" s="8">
        <f t="shared" ref="D92:AD92" si="6">SUM(D2:D91)</f>
        <v>302</v>
      </c>
      <c r="E92" s="8">
        <f t="shared" si="6"/>
        <v>14053</v>
      </c>
      <c r="F92" s="8">
        <f t="shared" si="6"/>
        <v>27148</v>
      </c>
      <c r="G92" s="8">
        <f t="shared" si="6"/>
        <v>36520</v>
      </c>
      <c r="H92" s="20">
        <f t="shared" si="3"/>
        <v>0.3662364491510976</v>
      </c>
      <c r="I92" s="8">
        <f t="shared" si="6"/>
        <v>86000</v>
      </c>
      <c r="J92" s="8">
        <f t="shared" si="6"/>
        <v>65</v>
      </c>
      <c r="K92" s="8">
        <f t="shared" si="6"/>
        <v>2768</v>
      </c>
      <c r="L92" s="8">
        <f t="shared" si="6"/>
        <v>50</v>
      </c>
      <c r="M92" s="8">
        <f t="shared" si="6"/>
        <v>4116</v>
      </c>
      <c r="N92" s="8">
        <f t="shared" si="6"/>
        <v>0</v>
      </c>
      <c r="O92" s="8">
        <f t="shared" si="6"/>
        <v>103</v>
      </c>
      <c r="P92" s="8">
        <f t="shared" si="6"/>
        <v>52</v>
      </c>
      <c r="Q92" s="8">
        <f t="shared" si="6"/>
        <v>18</v>
      </c>
      <c r="R92" s="8">
        <f t="shared" si="6"/>
        <v>14</v>
      </c>
      <c r="S92" s="8">
        <f t="shared" si="6"/>
        <v>0</v>
      </c>
      <c r="T92" s="8">
        <f t="shared" si="6"/>
        <v>10</v>
      </c>
      <c r="U92" s="8">
        <f t="shared" si="6"/>
        <v>28</v>
      </c>
      <c r="V92" s="8">
        <f t="shared" si="6"/>
        <v>21</v>
      </c>
      <c r="W92" s="8">
        <f t="shared" si="6"/>
        <v>3</v>
      </c>
      <c r="X92" s="8">
        <f t="shared" si="6"/>
        <v>42</v>
      </c>
      <c r="Y92" s="8">
        <f t="shared" si="6"/>
        <v>28088</v>
      </c>
      <c r="Z92" s="8">
        <f t="shared" si="6"/>
        <v>431</v>
      </c>
      <c r="AA92" s="8">
        <f t="shared" si="6"/>
        <v>0</v>
      </c>
      <c r="AB92" s="8">
        <f t="shared" si="6"/>
        <v>0</v>
      </c>
      <c r="AC92" s="8">
        <f t="shared" si="6"/>
        <v>35809</v>
      </c>
      <c r="AD92" s="8">
        <f t="shared" si="6"/>
        <v>633</v>
      </c>
      <c r="AE92" s="20">
        <f t="shared" si="5"/>
        <v>1.7370067504527742E-2</v>
      </c>
    </row>
    <row r="93" spans="1:31" s="5" customFormat="1" x14ac:dyDescent="0.5">
      <c r="A93" s="8"/>
      <c r="B93" s="8"/>
      <c r="C93" s="8"/>
      <c r="D93" s="8"/>
      <c r="E93" s="8"/>
      <c r="F93" s="8"/>
      <c r="G93" s="8"/>
      <c r="H93" s="8"/>
      <c r="I93" s="8"/>
      <c r="J93" s="20">
        <f>J92/$AC$92</f>
        <v>1.8151861263928063E-3</v>
      </c>
      <c r="K93" s="20">
        <f t="shared" ref="K93:AB93" si="7">K92/$AC$92</f>
        <v>7.7299003043927506E-2</v>
      </c>
      <c r="L93" s="20">
        <f t="shared" si="7"/>
        <v>1.3962970203021587E-3</v>
      </c>
      <c r="M93" s="20">
        <f t="shared" si="7"/>
        <v>0.1149431707112737</v>
      </c>
      <c r="N93" s="20">
        <f t="shared" si="7"/>
        <v>0</v>
      </c>
      <c r="O93" s="20">
        <f t="shared" si="7"/>
        <v>2.8763718618224467E-3</v>
      </c>
      <c r="P93" s="20">
        <f t="shared" si="7"/>
        <v>1.452148901114245E-3</v>
      </c>
      <c r="Q93" s="20">
        <f t="shared" si="7"/>
        <v>5.026669273087771E-4</v>
      </c>
      <c r="R93" s="20">
        <f t="shared" si="7"/>
        <v>3.9096316568460441E-4</v>
      </c>
      <c r="S93" s="20">
        <f t="shared" si="7"/>
        <v>0</v>
      </c>
      <c r="T93" s="20">
        <f t="shared" si="7"/>
        <v>2.7925940406043172E-4</v>
      </c>
      <c r="U93" s="20">
        <f t="shared" si="7"/>
        <v>7.8192633136920883E-4</v>
      </c>
      <c r="V93" s="20">
        <f t="shared" si="7"/>
        <v>5.8644474852690667E-4</v>
      </c>
      <c r="W93" s="20">
        <f t="shared" si="7"/>
        <v>8.3777821218129517E-5</v>
      </c>
      <c r="X93" s="20">
        <f t="shared" si="7"/>
        <v>1.1728894970538133E-3</v>
      </c>
      <c r="Y93" s="20">
        <f t="shared" si="7"/>
        <v>0.78438381412494063</v>
      </c>
      <c r="Z93" s="20">
        <f t="shared" si="7"/>
        <v>1.2036080315004609E-2</v>
      </c>
      <c r="AA93" s="20">
        <f t="shared" si="7"/>
        <v>0</v>
      </c>
      <c r="AB93" s="20">
        <f t="shared" si="7"/>
        <v>0</v>
      </c>
      <c r="AC93" s="20"/>
      <c r="AD93" s="8"/>
      <c r="AE93" s="8"/>
    </row>
    <row r="94" spans="1:31" x14ac:dyDescent="0.5">
      <c r="A94" s="3">
        <v>51</v>
      </c>
      <c r="B94" s="3">
        <v>1</v>
      </c>
      <c r="C94" s="3">
        <v>1221</v>
      </c>
      <c r="D94" s="3">
        <v>5</v>
      </c>
      <c r="E94" s="3">
        <v>158</v>
      </c>
      <c r="F94" s="3">
        <v>400</v>
      </c>
      <c r="G94" s="3">
        <v>510</v>
      </c>
      <c r="H94" s="16">
        <f t="shared" si="3"/>
        <v>0.4176904176904177</v>
      </c>
      <c r="I94" s="3">
        <v>1100</v>
      </c>
      <c r="J94" s="3">
        <v>1</v>
      </c>
      <c r="K94" s="3">
        <v>0</v>
      </c>
      <c r="L94" s="3">
        <v>3</v>
      </c>
      <c r="M94" s="3">
        <v>128</v>
      </c>
      <c r="N94" s="3">
        <v>21</v>
      </c>
      <c r="O94" s="3">
        <v>36</v>
      </c>
      <c r="P94" s="3">
        <v>0</v>
      </c>
      <c r="Q94" s="3">
        <v>0</v>
      </c>
      <c r="R94" s="3">
        <v>0</v>
      </c>
      <c r="S94" s="3">
        <v>5</v>
      </c>
      <c r="T94" s="3">
        <v>1</v>
      </c>
      <c r="U94" s="3">
        <v>0</v>
      </c>
      <c r="V94" s="3">
        <v>0</v>
      </c>
      <c r="W94" s="3">
        <v>0</v>
      </c>
      <c r="X94" s="3">
        <v>0</v>
      </c>
      <c r="Y94" s="3">
        <v>269</v>
      </c>
      <c r="Z94" s="3">
        <v>29</v>
      </c>
      <c r="AA94" s="3">
        <v>3</v>
      </c>
      <c r="AB94" s="3">
        <v>0</v>
      </c>
      <c r="AC94" s="3">
        <f t="shared" si="4"/>
        <v>496</v>
      </c>
      <c r="AD94" s="3">
        <v>14</v>
      </c>
      <c r="AE94" s="16">
        <f t="shared" si="5"/>
        <v>2.7450980392156862E-2</v>
      </c>
    </row>
    <row r="95" spans="1:31" x14ac:dyDescent="0.5">
      <c r="A95" s="3">
        <v>51</v>
      </c>
      <c r="B95" s="3">
        <v>2</v>
      </c>
      <c r="C95" s="3">
        <v>1126</v>
      </c>
      <c r="D95" s="3">
        <v>9</v>
      </c>
      <c r="E95" s="3">
        <v>155</v>
      </c>
      <c r="F95" s="3">
        <v>360</v>
      </c>
      <c r="G95" s="3">
        <v>447</v>
      </c>
      <c r="H95" s="16">
        <f t="shared" si="3"/>
        <v>0.39698046181172292</v>
      </c>
      <c r="I95" s="3">
        <v>1000</v>
      </c>
      <c r="J95" s="3">
        <v>0</v>
      </c>
      <c r="K95" s="3">
        <v>0</v>
      </c>
      <c r="L95" s="3">
        <v>2</v>
      </c>
      <c r="M95" s="3">
        <v>172</v>
      </c>
      <c r="N95" s="3">
        <v>15</v>
      </c>
      <c r="O95" s="3">
        <v>20</v>
      </c>
      <c r="P95" s="3">
        <v>0</v>
      </c>
      <c r="Q95" s="3">
        <v>1</v>
      </c>
      <c r="R95" s="3">
        <v>0</v>
      </c>
      <c r="S95" s="3">
        <v>1</v>
      </c>
      <c r="T95" s="3">
        <v>1</v>
      </c>
      <c r="U95" s="3">
        <v>0</v>
      </c>
      <c r="V95" s="3">
        <v>0</v>
      </c>
      <c r="W95" s="3">
        <v>0</v>
      </c>
      <c r="X95" s="3">
        <v>0</v>
      </c>
      <c r="Y95" s="3">
        <v>184</v>
      </c>
      <c r="Z95" s="3">
        <v>36</v>
      </c>
      <c r="AA95" s="3">
        <v>0</v>
      </c>
      <c r="AB95" s="3">
        <v>0</v>
      </c>
      <c r="AC95" s="3">
        <f t="shared" si="4"/>
        <v>432</v>
      </c>
      <c r="AD95" s="3">
        <v>15</v>
      </c>
      <c r="AE95" s="16">
        <f t="shared" si="5"/>
        <v>3.3557046979865772E-2</v>
      </c>
    </row>
    <row r="96" spans="1:31" x14ac:dyDescent="0.5">
      <c r="A96" s="3">
        <v>51</v>
      </c>
      <c r="B96" s="3">
        <v>3</v>
      </c>
      <c r="C96" s="3">
        <v>1282</v>
      </c>
      <c r="D96" s="3">
        <v>8</v>
      </c>
      <c r="E96" s="3">
        <v>218</v>
      </c>
      <c r="F96" s="3">
        <v>504</v>
      </c>
      <c r="G96" s="3">
        <v>605</v>
      </c>
      <c r="H96" s="16">
        <f t="shared" si="3"/>
        <v>0.47191887675507022</v>
      </c>
      <c r="I96" s="3">
        <v>1150</v>
      </c>
      <c r="J96" s="3">
        <v>1</v>
      </c>
      <c r="K96" s="3">
        <v>0</v>
      </c>
      <c r="L96" s="3">
        <v>1</v>
      </c>
      <c r="M96" s="3">
        <v>191</v>
      </c>
      <c r="N96" s="3">
        <v>15</v>
      </c>
      <c r="O96" s="3">
        <v>20</v>
      </c>
      <c r="P96" s="3">
        <v>0</v>
      </c>
      <c r="Q96" s="3">
        <v>0</v>
      </c>
      <c r="R96" s="3">
        <v>1</v>
      </c>
      <c r="S96" s="3">
        <v>0</v>
      </c>
      <c r="T96" s="3">
        <v>0</v>
      </c>
      <c r="U96" s="3">
        <v>0</v>
      </c>
      <c r="V96" s="3">
        <v>1</v>
      </c>
      <c r="W96" s="3">
        <v>0</v>
      </c>
      <c r="X96" s="3">
        <v>0</v>
      </c>
      <c r="Y96" s="3">
        <v>244</v>
      </c>
      <c r="Z96" s="3">
        <v>124</v>
      </c>
      <c r="AA96" s="3">
        <v>0</v>
      </c>
      <c r="AB96" s="3">
        <v>0</v>
      </c>
      <c r="AC96" s="3">
        <f t="shared" si="4"/>
        <v>598</v>
      </c>
      <c r="AD96" s="3">
        <v>7</v>
      </c>
      <c r="AE96" s="16">
        <f t="shared" si="5"/>
        <v>1.1570247933884297E-2</v>
      </c>
    </row>
    <row r="97" spans="1:31" x14ac:dyDescent="0.5">
      <c r="A97" s="3">
        <v>51</v>
      </c>
      <c r="B97" s="3">
        <v>4</v>
      </c>
      <c r="C97" s="3">
        <v>1147</v>
      </c>
      <c r="D97" s="3">
        <v>9</v>
      </c>
      <c r="E97" s="3">
        <v>192</v>
      </c>
      <c r="F97" s="3">
        <v>398</v>
      </c>
      <c r="G97" s="3">
        <v>469</v>
      </c>
      <c r="H97" s="16">
        <f t="shared" si="3"/>
        <v>0.40889276373147343</v>
      </c>
      <c r="I97" s="3">
        <v>1050</v>
      </c>
      <c r="J97" s="3">
        <v>0</v>
      </c>
      <c r="K97" s="3">
        <v>0</v>
      </c>
      <c r="L97" s="3">
        <v>0</v>
      </c>
      <c r="M97" s="3">
        <v>131</v>
      </c>
      <c r="N97" s="3">
        <v>9</v>
      </c>
      <c r="O97" s="3">
        <v>23</v>
      </c>
      <c r="P97" s="3">
        <v>0</v>
      </c>
      <c r="Q97" s="3">
        <v>2</v>
      </c>
      <c r="R97" s="3">
        <v>1</v>
      </c>
      <c r="S97" s="3">
        <v>4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224</v>
      </c>
      <c r="Z97" s="3">
        <v>61</v>
      </c>
      <c r="AA97" s="3">
        <v>0</v>
      </c>
      <c r="AB97" s="3">
        <v>0</v>
      </c>
      <c r="AC97" s="3">
        <f t="shared" si="4"/>
        <v>455</v>
      </c>
      <c r="AD97" s="3">
        <v>14</v>
      </c>
      <c r="AE97" s="16">
        <f t="shared" si="5"/>
        <v>2.9850746268656716E-2</v>
      </c>
    </row>
    <row r="98" spans="1:31" x14ac:dyDescent="0.5">
      <c r="A98" s="3">
        <v>51</v>
      </c>
      <c r="B98" s="3">
        <v>5</v>
      </c>
      <c r="C98" s="3">
        <v>1082</v>
      </c>
      <c r="D98" s="3">
        <v>6</v>
      </c>
      <c r="E98" s="3">
        <v>143</v>
      </c>
      <c r="F98" s="3">
        <v>357</v>
      </c>
      <c r="G98" s="3">
        <v>449</v>
      </c>
      <c r="H98" s="16">
        <f t="shared" si="3"/>
        <v>0.41497227356746763</v>
      </c>
      <c r="I98" s="3">
        <v>1000</v>
      </c>
      <c r="J98" s="3">
        <v>2</v>
      </c>
      <c r="K98" s="3">
        <v>0</v>
      </c>
      <c r="L98" s="3">
        <v>0</v>
      </c>
      <c r="M98" s="3">
        <v>157</v>
      </c>
      <c r="N98" s="3">
        <v>14</v>
      </c>
      <c r="O98" s="3">
        <v>19</v>
      </c>
      <c r="P98" s="3">
        <v>0</v>
      </c>
      <c r="Q98" s="3">
        <v>0</v>
      </c>
      <c r="R98" s="3">
        <v>0</v>
      </c>
      <c r="S98" s="3">
        <v>1</v>
      </c>
      <c r="T98" s="3">
        <v>1</v>
      </c>
      <c r="U98" s="3">
        <v>2</v>
      </c>
      <c r="V98" s="3">
        <v>0</v>
      </c>
      <c r="W98" s="3">
        <v>0</v>
      </c>
      <c r="X98" s="3">
        <v>0</v>
      </c>
      <c r="Y98" s="3">
        <v>205</v>
      </c>
      <c r="Z98" s="3">
        <v>31</v>
      </c>
      <c r="AA98" s="3">
        <v>1</v>
      </c>
      <c r="AB98" s="3">
        <v>0</v>
      </c>
      <c r="AC98" s="3">
        <f t="shared" si="4"/>
        <v>433</v>
      </c>
      <c r="AD98" s="3">
        <v>16</v>
      </c>
      <c r="AE98" s="16">
        <f t="shared" si="5"/>
        <v>3.5634743875278395E-2</v>
      </c>
    </row>
    <row r="99" spans="1:31" x14ac:dyDescent="0.5">
      <c r="A99" s="3">
        <v>51</v>
      </c>
      <c r="B99" s="3">
        <v>6</v>
      </c>
      <c r="C99" s="3">
        <v>1383</v>
      </c>
      <c r="D99" s="3">
        <v>4</v>
      </c>
      <c r="E99" s="3">
        <v>195</v>
      </c>
      <c r="F99" s="3">
        <v>461</v>
      </c>
      <c r="G99" s="3">
        <v>611</v>
      </c>
      <c r="H99" s="16">
        <f t="shared" si="3"/>
        <v>0.44179320318148951</v>
      </c>
      <c r="I99" s="3">
        <v>1250</v>
      </c>
      <c r="J99" s="3">
        <v>1</v>
      </c>
      <c r="K99" s="3">
        <v>0</v>
      </c>
      <c r="L99" s="3">
        <v>2</v>
      </c>
      <c r="M99" s="3">
        <v>239</v>
      </c>
      <c r="N99" s="3">
        <v>11</v>
      </c>
      <c r="O99" s="3">
        <v>31</v>
      </c>
      <c r="P99" s="3">
        <v>0</v>
      </c>
      <c r="Q99" s="3">
        <v>2</v>
      </c>
      <c r="R99" s="3">
        <v>0</v>
      </c>
      <c r="S99" s="3">
        <v>18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260</v>
      </c>
      <c r="Z99" s="3">
        <v>38</v>
      </c>
      <c r="AA99" s="3">
        <v>1</v>
      </c>
      <c r="AB99" s="3">
        <v>0</v>
      </c>
      <c r="AC99" s="3">
        <f t="shared" si="4"/>
        <v>603</v>
      </c>
      <c r="AD99" s="3">
        <v>8</v>
      </c>
      <c r="AE99" s="16">
        <f t="shared" si="5"/>
        <v>1.3093289689034371E-2</v>
      </c>
    </row>
    <row r="100" spans="1:31" x14ac:dyDescent="0.5">
      <c r="A100" s="3">
        <v>51</v>
      </c>
      <c r="B100" s="3">
        <v>7</v>
      </c>
      <c r="C100" s="3">
        <v>1280</v>
      </c>
      <c r="D100" s="3">
        <v>4</v>
      </c>
      <c r="E100" s="3">
        <v>221</v>
      </c>
      <c r="F100" s="3">
        <v>445</v>
      </c>
      <c r="G100" s="3">
        <v>560</v>
      </c>
      <c r="H100" s="16">
        <f t="shared" si="3"/>
        <v>0.4375</v>
      </c>
      <c r="I100" s="3">
        <v>1150</v>
      </c>
      <c r="J100" s="3">
        <v>1</v>
      </c>
      <c r="K100" s="3">
        <v>0</v>
      </c>
      <c r="L100" s="3">
        <v>1</v>
      </c>
      <c r="M100" s="3">
        <v>189</v>
      </c>
      <c r="N100" s="3">
        <v>13</v>
      </c>
      <c r="O100" s="3">
        <v>17</v>
      </c>
      <c r="P100" s="3">
        <v>0</v>
      </c>
      <c r="Q100" s="3">
        <v>0</v>
      </c>
      <c r="R100" s="3">
        <v>0</v>
      </c>
      <c r="S100" s="3">
        <v>4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290</v>
      </c>
      <c r="Z100" s="3">
        <v>33</v>
      </c>
      <c r="AA100" s="3">
        <v>2</v>
      </c>
      <c r="AB100" s="3">
        <v>0</v>
      </c>
      <c r="AC100" s="3">
        <f t="shared" si="4"/>
        <v>550</v>
      </c>
      <c r="AD100" s="3">
        <v>10</v>
      </c>
      <c r="AE100" s="16">
        <f t="shared" si="5"/>
        <v>1.7857142857142856E-2</v>
      </c>
    </row>
    <row r="101" spans="1:31" x14ac:dyDescent="0.5">
      <c r="A101" s="3">
        <v>51</v>
      </c>
      <c r="B101" s="3">
        <v>8</v>
      </c>
      <c r="C101" s="3">
        <v>1089</v>
      </c>
      <c r="D101" s="3">
        <v>6</v>
      </c>
      <c r="E101" s="3">
        <v>237</v>
      </c>
      <c r="F101" s="3">
        <v>484</v>
      </c>
      <c r="G101" s="3">
        <v>609</v>
      </c>
      <c r="H101" s="16">
        <f t="shared" si="3"/>
        <v>0.55922865013774103</v>
      </c>
      <c r="I101" s="3">
        <v>1000</v>
      </c>
      <c r="J101" s="3">
        <v>0</v>
      </c>
      <c r="K101" s="3">
        <v>0</v>
      </c>
      <c r="L101" s="3">
        <v>1</v>
      </c>
      <c r="M101" s="3">
        <v>234</v>
      </c>
      <c r="N101" s="3">
        <v>11</v>
      </c>
      <c r="O101" s="3">
        <v>42</v>
      </c>
      <c r="P101" s="3">
        <v>0</v>
      </c>
      <c r="Q101" s="3">
        <v>1</v>
      </c>
      <c r="R101" s="3">
        <v>0</v>
      </c>
      <c r="S101" s="3">
        <v>2</v>
      </c>
      <c r="T101" s="3">
        <v>0</v>
      </c>
      <c r="U101" s="3">
        <v>0</v>
      </c>
      <c r="V101" s="3">
        <v>2</v>
      </c>
      <c r="W101" s="3">
        <v>0</v>
      </c>
      <c r="X101" s="3">
        <v>0</v>
      </c>
      <c r="Y101" s="3">
        <v>269</v>
      </c>
      <c r="Z101" s="3">
        <v>34</v>
      </c>
      <c r="AA101" s="3">
        <v>0</v>
      </c>
      <c r="AB101" s="3">
        <v>0</v>
      </c>
      <c r="AC101" s="3">
        <f t="shared" si="4"/>
        <v>596</v>
      </c>
      <c r="AD101" s="3">
        <v>12</v>
      </c>
      <c r="AE101" s="16">
        <f t="shared" si="5"/>
        <v>1.9736842105263157E-2</v>
      </c>
    </row>
    <row r="102" spans="1:31" x14ac:dyDescent="0.5">
      <c r="A102" s="3">
        <v>51</v>
      </c>
      <c r="B102" s="3">
        <v>9</v>
      </c>
      <c r="C102" s="3">
        <v>1369</v>
      </c>
      <c r="D102" s="3">
        <v>9</v>
      </c>
      <c r="E102" s="3">
        <v>205</v>
      </c>
      <c r="F102" s="3">
        <v>414</v>
      </c>
      <c r="G102" s="3">
        <v>565</v>
      </c>
      <c r="H102" s="16">
        <f t="shared" si="3"/>
        <v>0.41271000730460189</v>
      </c>
      <c r="I102" s="3">
        <v>1250</v>
      </c>
      <c r="J102" s="3">
        <v>1</v>
      </c>
      <c r="K102" s="3">
        <v>0</v>
      </c>
      <c r="L102" s="3">
        <v>1</v>
      </c>
      <c r="M102" s="3">
        <v>249</v>
      </c>
      <c r="N102" s="3">
        <v>8</v>
      </c>
      <c r="O102" s="3">
        <v>38</v>
      </c>
      <c r="P102" s="3">
        <v>0</v>
      </c>
      <c r="Q102" s="3">
        <v>0</v>
      </c>
      <c r="R102" s="3">
        <v>1</v>
      </c>
      <c r="S102" s="3">
        <v>2</v>
      </c>
      <c r="T102" s="3">
        <v>1</v>
      </c>
      <c r="U102" s="3">
        <v>0</v>
      </c>
      <c r="V102" s="3">
        <v>0</v>
      </c>
      <c r="W102" s="3">
        <v>0</v>
      </c>
      <c r="X102" s="3">
        <v>0</v>
      </c>
      <c r="Y102" s="3">
        <v>211</v>
      </c>
      <c r="Z102" s="3">
        <v>36</v>
      </c>
      <c r="AA102" s="3">
        <v>5</v>
      </c>
      <c r="AB102" s="3">
        <v>0</v>
      </c>
      <c r="AC102" s="3">
        <f t="shared" si="4"/>
        <v>553</v>
      </c>
      <c r="AD102" s="3">
        <v>11</v>
      </c>
      <c r="AE102" s="16">
        <f t="shared" si="5"/>
        <v>1.9503546099290781E-2</v>
      </c>
    </row>
    <row r="103" spans="1:31" x14ac:dyDescent="0.5">
      <c r="A103" s="3">
        <v>51</v>
      </c>
      <c r="B103" s="3">
        <v>10</v>
      </c>
      <c r="C103" s="3">
        <v>1351</v>
      </c>
      <c r="D103" s="3">
        <v>10</v>
      </c>
      <c r="E103" s="3">
        <v>178</v>
      </c>
      <c r="F103" s="3">
        <v>367</v>
      </c>
      <c r="G103" s="3">
        <v>511</v>
      </c>
      <c r="H103" s="16">
        <f t="shared" si="3"/>
        <v>0.37823834196891193</v>
      </c>
      <c r="I103" s="3">
        <v>1200</v>
      </c>
      <c r="J103" s="3">
        <v>3</v>
      </c>
      <c r="K103" s="3">
        <v>0</v>
      </c>
      <c r="L103" s="3">
        <v>1</v>
      </c>
      <c r="M103" s="3">
        <v>175</v>
      </c>
      <c r="N103" s="3">
        <v>8</v>
      </c>
      <c r="O103" s="3">
        <v>33</v>
      </c>
      <c r="P103" s="3">
        <v>0</v>
      </c>
      <c r="Q103" s="3">
        <v>0</v>
      </c>
      <c r="R103" s="3">
        <v>1</v>
      </c>
      <c r="S103" s="3">
        <v>4</v>
      </c>
      <c r="T103" s="3">
        <v>0</v>
      </c>
      <c r="U103" s="3">
        <v>0</v>
      </c>
      <c r="V103" s="3">
        <v>0</v>
      </c>
      <c r="W103" s="3">
        <v>1</v>
      </c>
      <c r="X103" s="3">
        <v>0</v>
      </c>
      <c r="Y103" s="3">
        <v>261</v>
      </c>
      <c r="Z103" s="3">
        <v>12</v>
      </c>
      <c r="AA103" s="3">
        <v>0</v>
      </c>
      <c r="AB103" s="3">
        <v>0</v>
      </c>
      <c r="AC103" s="3">
        <f t="shared" si="4"/>
        <v>499</v>
      </c>
      <c r="AD103" s="3">
        <v>12</v>
      </c>
      <c r="AE103" s="16">
        <f t="shared" si="5"/>
        <v>2.3483365949119372E-2</v>
      </c>
    </row>
    <row r="104" spans="1:31" x14ac:dyDescent="0.5">
      <c r="A104" s="3">
        <v>51</v>
      </c>
      <c r="B104" s="3">
        <v>11</v>
      </c>
      <c r="C104" s="3">
        <v>1124</v>
      </c>
      <c r="D104" s="3">
        <v>3</v>
      </c>
      <c r="E104" s="3">
        <v>226</v>
      </c>
      <c r="F104" s="3">
        <v>445</v>
      </c>
      <c r="G104" s="3">
        <v>545</v>
      </c>
      <c r="H104" s="16">
        <f t="shared" si="3"/>
        <v>0.48487544483985767</v>
      </c>
      <c r="I104" s="3">
        <v>1000</v>
      </c>
      <c r="J104" s="3">
        <v>0</v>
      </c>
      <c r="K104" s="3">
        <v>0</v>
      </c>
      <c r="L104" s="3">
        <v>2</v>
      </c>
      <c r="M104" s="3">
        <v>176</v>
      </c>
      <c r="N104" s="3">
        <v>11</v>
      </c>
      <c r="O104" s="3">
        <v>31</v>
      </c>
      <c r="P104" s="3">
        <v>0</v>
      </c>
      <c r="Q104" s="3">
        <v>1</v>
      </c>
      <c r="R104" s="3">
        <v>2</v>
      </c>
      <c r="S104" s="3">
        <v>0</v>
      </c>
      <c r="T104" s="3">
        <v>3</v>
      </c>
      <c r="U104" s="3">
        <v>0</v>
      </c>
      <c r="V104" s="3">
        <v>0</v>
      </c>
      <c r="W104" s="3">
        <v>0</v>
      </c>
      <c r="X104" s="3">
        <v>0</v>
      </c>
      <c r="Y104" s="3">
        <v>306</v>
      </c>
      <c r="Z104" s="3">
        <v>6</v>
      </c>
      <c r="AA104" s="3">
        <v>1</v>
      </c>
      <c r="AB104" s="3">
        <v>0</v>
      </c>
      <c r="AC104" s="3">
        <f t="shared" si="4"/>
        <v>539</v>
      </c>
      <c r="AD104" s="3">
        <v>6</v>
      </c>
      <c r="AE104" s="16">
        <f t="shared" si="5"/>
        <v>1.1009174311926606E-2</v>
      </c>
    </row>
    <row r="105" spans="1:31" x14ac:dyDescent="0.5">
      <c r="A105" s="3">
        <v>51</v>
      </c>
      <c r="B105" s="3">
        <v>12</v>
      </c>
      <c r="C105" s="3">
        <v>1319</v>
      </c>
      <c r="D105" s="3">
        <v>3</v>
      </c>
      <c r="E105" s="3">
        <v>277</v>
      </c>
      <c r="F105" s="3">
        <v>538</v>
      </c>
      <c r="G105" s="3">
        <v>612</v>
      </c>
      <c r="H105" s="16">
        <f t="shared" si="3"/>
        <v>0.46398786959818045</v>
      </c>
      <c r="I105" s="3">
        <v>1250</v>
      </c>
      <c r="J105" s="3">
        <v>1</v>
      </c>
      <c r="K105" s="3">
        <v>0</v>
      </c>
      <c r="L105" s="3">
        <v>2</v>
      </c>
      <c r="M105" s="3">
        <v>180</v>
      </c>
      <c r="N105" s="3">
        <v>8</v>
      </c>
      <c r="O105" s="3">
        <v>28</v>
      </c>
      <c r="P105" s="3">
        <v>0</v>
      </c>
      <c r="Q105" s="3">
        <v>0</v>
      </c>
      <c r="R105" s="3">
        <v>0</v>
      </c>
      <c r="S105" s="3">
        <v>2</v>
      </c>
      <c r="T105" s="3">
        <v>0</v>
      </c>
      <c r="U105" s="3">
        <v>0</v>
      </c>
      <c r="V105" s="3">
        <v>0</v>
      </c>
      <c r="W105" s="3">
        <v>0</v>
      </c>
      <c r="X105" s="3">
        <v>1</v>
      </c>
      <c r="Y105" s="3">
        <v>368</v>
      </c>
      <c r="Z105" s="3">
        <v>4</v>
      </c>
      <c r="AA105" s="3">
        <v>4</v>
      </c>
      <c r="AB105" s="3">
        <v>0</v>
      </c>
      <c r="AC105" s="3">
        <f t="shared" si="4"/>
        <v>598</v>
      </c>
      <c r="AD105" s="3">
        <v>14</v>
      </c>
      <c r="AE105" s="16">
        <f t="shared" si="5"/>
        <v>2.2875816993464051E-2</v>
      </c>
    </row>
    <row r="106" spans="1:31" x14ac:dyDescent="0.5">
      <c r="A106" s="3">
        <v>51</v>
      </c>
      <c r="B106" s="3">
        <v>13</v>
      </c>
      <c r="C106" s="3">
        <v>964</v>
      </c>
      <c r="D106" s="3">
        <v>4</v>
      </c>
      <c r="E106" s="3">
        <v>187</v>
      </c>
      <c r="F106" s="3">
        <v>412</v>
      </c>
      <c r="G106" s="3">
        <v>514</v>
      </c>
      <c r="H106" s="16">
        <f t="shared" si="3"/>
        <v>0.53319502074688796</v>
      </c>
      <c r="I106" s="3">
        <v>900</v>
      </c>
      <c r="J106" s="3">
        <v>1</v>
      </c>
      <c r="K106" s="3">
        <v>0</v>
      </c>
      <c r="L106" s="3">
        <v>1</v>
      </c>
      <c r="M106" s="3">
        <v>204</v>
      </c>
      <c r="N106" s="3">
        <v>9</v>
      </c>
      <c r="O106" s="3">
        <v>12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272</v>
      </c>
      <c r="Z106" s="3">
        <v>6</v>
      </c>
      <c r="AA106" s="3">
        <v>1</v>
      </c>
      <c r="AB106" s="3">
        <v>0</v>
      </c>
      <c r="AC106" s="3">
        <f t="shared" si="4"/>
        <v>506</v>
      </c>
      <c r="AD106" s="3">
        <v>8</v>
      </c>
      <c r="AE106" s="16">
        <f t="shared" si="5"/>
        <v>1.556420233463035E-2</v>
      </c>
    </row>
    <row r="107" spans="1:31" x14ac:dyDescent="0.5">
      <c r="A107" s="3">
        <v>51</v>
      </c>
      <c r="B107" s="3">
        <v>14</v>
      </c>
      <c r="C107" s="3">
        <v>1041</v>
      </c>
      <c r="D107" s="3">
        <v>6</v>
      </c>
      <c r="E107" s="3">
        <v>207</v>
      </c>
      <c r="F107" s="3">
        <v>434</v>
      </c>
      <c r="G107" s="3">
        <v>559</v>
      </c>
      <c r="H107" s="16">
        <f t="shared" si="3"/>
        <v>0.53698366954851107</v>
      </c>
      <c r="I107" s="3">
        <v>950</v>
      </c>
      <c r="J107" s="3">
        <v>1</v>
      </c>
      <c r="K107" s="3">
        <v>0</v>
      </c>
      <c r="L107" s="3">
        <v>0</v>
      </c>
      <c r="M107" s="3">
        <v>146</v>
      </c>
      <c r="N107" s="3">
        <v>7</v>
      </c>
      <c r="O107" s="3">
        <v>32</v>
      </c>
      <c r="P107" s="3">
        <v>0</v>
      </c>
      <c r="Q107" s="3">
        <v>0</v>
      </c>
      <c r="R107" s="3">
        <v>2</v>
      </c>
      <c r="S107" s="3">
        <v>2</v>
      </c>
      <c r="T107" s="3">
        <v>0</v>
      </c>
      <c r="U107" s="3">
        <v>0</v>
      </c>
      <c r="V107" s="3">
        <v>2</v>
      </c>
      <c r="W107" s="3">
        <v>1</v>
      </c>
      <c r="X107" s="3">
        <v>1</v>
      </c>
      <c r="Y107" s="3">
        <v>323</v>
      </c>
      <c r="Z107" s="3">
        <v>23</v>
      </c>
      <c r="AA107" s="3">
        <v>1</v>
      </c>
      <c r="AB107" s="3">
        <v>0</v>
      </c>
      <c r="AC107" s="3">
        <f t="shared" si="4"/>
        <v>541</v>
      </c>
      <c r="AD107" s="3">
        <v>18</v>
      </c>
      <c r="AE107" s="16">
        <f t="shared" si="5"/>
        <v>3.2200357781753133E-2</v>
      </c>
    </row>
    <row r="108" spans="1:31" x14ac:dyDescent="0.5">
      <c r="A108" s="3">
        <v>51</v>
      </c>
      <c r="B108" s="3">
        <v>15</v>
      </c>
      <c r="C108" s="3">
        <v>938</v>
      </c>
      <c r="D108" s="3">
        <v>4</v>
      </c>
      <c r="E108" s="3">
        <v>112</v>
      </c>
      <c r="F108" s="3">
        <v>304</v>
      </c>
      <c r="G108" s="3">
        <v>412</v>
      </c>
      <c r="H108" s="16">
        <f t="shared" si="3"/>
        <v>0.43923240938166314</v>
      </c>
      <c r="I108" s="3">
        <v>850</v>
      </c>
      <c r="J108" s="3">
        <v>0</v>
      </c>
      <c r="K108" s="3">
        <v>0</v>
      </c>
      <c r="L108" s="3">
        <v>2</v>
      </c>
      <c r="M108" s="3">
        <v>127</v>
      </c>
      <c r="N108" s="3">
        <v>10</v>
      </c>
      <c r="O108" s="3">
        <v>20</v>
      </c>
      <c r="P108" s="3">
        <v>0</v>
      </c>
      <c r="Q108" s="3">
        <v>0</v>
      </c>
      <c r="R108" s="3">
        <v>0</v>
      </c>
      <c r="S108" s="3">
        <v>3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172</v>
      </c>
      <c r="Z108" s="3">
        <v>70</v>
      </c>
      <c r="AA108" s="3">
        <v>3</v>
      </c>
      <c r="AB108" s="3">
        <v>0</v>
      </c>
      <c r="AC108" s="3">
        <f t="shared" si="4"/>
        <v>407</v>
      </c>
      <c r="AD108" s="3">
        <v>5</v>
      </c>
      <c r="AE108" s="16">
        <f t="shared" si="5"/>
        <v>1.2135922330097087E-2</v>
      </c>
    </row>
    <row r="109" spans="1:31" x14ac:dyDescent="0.5">
      <c r="A109" s="3">
        <v>51</v>
      </c>
      <c r="B109" s="3">
        <v>16</v>
      </c>
      <c r="C109" s="3">
        <v>855</v>
      </c>
      <c r="D109" s="3">
        <v>2</v>
      </c>
      <c r="E109" s="3">
        <v>161</v>
      </c>
      <c r="F109" s="3">
        <v>383</v>
      </c>
      <c r="G109" s="3">
        <v>467</v>
      </c>
      <c r="H109" s="16">
        <f t="shared" si="3"/>
        <v>0.54619883040935668</v>
      </c>
      <c r="I109" s="3">
        <v>800</v>
      </c>
      <c r="J109" s="3">
        <v>0</v>
      </c>
      <c r="K109" s="3">
        <v>0</v>
      </c>
      <c r="L109" s="3">
        <v>0</v>
      </c>
      <c r="M109" s="3">
        <v>234</v>
      </c>
      <c r="N109" s="3">
        <v>4</v>
      </c>
      <c r="O109" s="3">
        <v>16</v>
      </c>
      <c r="P109" s="3">
        <v>0</v>
      </c>
      <c r="Q109" s="3">
        <v>1</v>
      </c>
      <c r="R109" s="3">
        <v>0</v>
      </c>
      <c r="S109" s="3">
        <v>2</v>
      </c>
      <c r="T109" s="3">
        <v>0</v>
      </c>
      <c r="U109" s="3">
        <v>0</v>
      </c>
      <c r="V109" s="3">
        <v>0</v>
      </c>
      <c r="W109" s="3">
        <v>0</v>
      </c>
      <c r="X109" s="3">
        <v>1</v>
      </c>
      <c r="Y109" s="3">
        <v>194</v>
      </c>
      <c r="Z109" s="3">
        <v>9</v>
      </c>
      <c r="AA109" s="3">
        <v>1</v>
      </c>
      <c r="AB109" s="3">
        <v>0</v>
      </c>
      <c r="AC109" s="3">
        <f t="shared" si="4"/>
        <v>462</v>
      </c>
      <c r="AD109" s="3">
        <v>5</v>
      </c>
      <c r="AE109" s="16">
        <f t="shared" si="5"/>
        <v>1.0706638115631691E-2</v>
      </c>
    </row>
    <row r="110" spans="1:31" x14ac:dyDescent="0.5">
      <c r="A110" s="3">
        <v>51</v>
      </c>
      <c r="B110" s="3">
        <v>17</v>
      </c>
      <c r="C110" s="3">
        <v>1363</v>
      </c>
      <c r="D110" s="3">
        <v>3</v>
      </c>
      <c r="E110" s="3">
        <v>248</v>
      </c>
      <c r="F110" s="3">
        <v>536</v>
      </c>
      <c r="G110" s="3">
        <v>647</v>
      </c>
      <c r="H110" s="16">
        <f t="shared" si="3"/>
        <v>0.4746881878209831</v>
      </c>
      <c r="I110" s="3">
        <v>1250</v>
      </c>
      <c r="J110" s="3">
        <v>3</v>
      </c>
      <c r="K110" s="3">
        <v>0</v>
      </c>
      <c r="L110" s="3">
        <v>1</v>
      </c>
      <c r="M110" s="3">
        <v>321</v>
      </c>
      <c r="N110" s="3">
        <v>10</v>
      </c>
      <c r="O110" s="3">
        <v>26</v>
      </c>
      <c r="P110" s="3">
        <v>0</v>
      </c>
      <c r="Q110" s="3">
        <v>0</v>
      </c>
      <c r="R110" s="3">
        <v>0</v>
      </c>
      <c r="S110" s="3">
        <v>5</v>
      </c>
      <c r="T110" s="3">
        <v>0</v>
      </c>
      <c r="U110" s="3">
        <v>1</v>
      </c>
      <c r="V110" s="3">
        <v>0</v>
      </c>
      <c r="W110" s="3">
        <v>1</v>
      </c>
      <c r="X110" s="3">
        <v>1</v>
      </c>
      <c r="Y110" s="3">
        <v>251</v>
      </c>
      <c r="Z110" s="3">
        <v>10</v>
      </c>
      <c r="AA110" s="3">
        <v>0</v>
      </c>
      <c r="AB110" s="3">
        <v>0</v>
      </c>
      <c r="AC110" s="3">
        <f t="shared" si="4"/>
        <v>630</v>
      </c>
      <c r="AD110" s="3">
        <v>17</v>
      </c>
      <c r="AE110" s="16">
        <f t="shared" si="5"/>
        <v>2.6275115919629059E-2</v>
      </c>
    </row>
    <row r="111" spans="1:31" x14ac:dyDescent="0.5">
      <c r="A111" s="3">
        <v>51</v>
      </c>
      <c r="B111" s="3">
        <v>18</v>
      </c>
      <c r="C111" s="3">
        <v>1433</v>
      </c>
      <c r="D111" s="3">
        <v>4</v>
      </c>
      <c r="E111" s="3">
        <v>192</v>
      </c>
      <c r="F111" s="3">
        <v>450</v>
      </c>
      <c r="G111" s="3">
        <v>652</v>
      </c>
      <c r="H111" s="16">
        <f t="shared" si="3"/>
        <v>0.45498953244940682</v>
      </c>
      <c r="I111" s="3">
        <v>1300</v>
      </c>
      <c r="J111" s="3">
        <v>0</v>
      </c>
      <c r="K111" s="3">
        <v>0</v>
      </c>
      <c r="L111" s="3">
        <v>0</v>
      </c>
      <c r="M111" s="3">
        <v>234</v>
      </c>
      <c r="N111" s="3">
        <v>40</v>
      </c>
      <c r="O111" s="3">
        <v>31</v>
      </c>
      <c r="P111" s="3">
        <v>0</v>
      </c>
      <c r="Q111" s="3">
        <v>0</v>
      </c>
      <c r="R111" s="3">
        <v>0</v>
      </c>
      <c r="S111" s="3">
        <v>3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290</v>
      </c>
      <c r="Z111" s="3">
        <v>21</v>
      </c>
      <c r="AA111" s="3">
        <v>1</v>
      </c>
      <c r="AB111" s="3">
        <v>0</v>
      </c>
      <c r="AC111" s="3">
        <f t="shared" si="4"/>
        <v>620</v>
      </c>
      <c r="AD111" s="3">
        <v>32</v>
      </c>
      <c r="AE111" s="16">
        <f t="shared" si="5"/>
        <v>4.9079754601226995E-2</v>
      </c>
    </row>
    <row r="112" spans="1:31" x14ac:dyDescent="0.5">
      <c r="A112" s="3">
        <v>51</v>
      </c>
      <c r="B112" s="3">
        <v>19</v>
      </c>
      <c r="C112" s="3">
        <v>1059</v>
      </c>
      <c r="D112" s="3">
        <v>0</v>
      </c>
      <c r="E112" s="3">
        <v>208</v>
      </c>
      <c r="F112" s="3">
        <v>485</v>
      </c>
      <c r="G112" s="3">
        <v>594</v>
      </c>
      <c r="H112" s="16">
        <f t="shared" si="3"/>
        <v>0.56090651558073656</v>
      </c>
      <c r="I112" s="3">
        <v>1000</v>
      </c>
      <c r="J112" s="3">
        <v>0</v>
      </c>
      <c r="K112" s="3">
        <v>0</v>
      </c>
      <c r="L112" s="3">
        <v>0</v>
      </c>
      <c r="M112" s="3">
        <v>220</v>
      </c>
      <c r="N112" s="3">
        <v>8</v>
      </c>
      <c r="O112" s="3">
        <v>85</v>
      </c>
      <c r="P112" s="3">
        <v>0</v>
      </c>
      <c r="Q112" s="3">
        <v>0</v>
      </c>
      <c r="R112" s="3">
        <v>0</v>
      </c>
      <c r="S112" s="3">
        <v>2</v>
      </c>
      <c r="T112" s="3">
        <v>0</v>
      </c>
      <c r="U112" s="3">
        <v>0</v>
      </c>
      <c r="V112" s="3">
        <v>1</v>
      </c>
      <c r="W112" s="3">
        <v>0</v>
      </c>
      <c r="X112" s="3">
        <v>0</v>
      </c>
      <c r="Y112" s="3">
        <v>264</v>
      </c>
      <c r="Z112" s="3">
        <v>7</v>
      </c>
      <c r="AA112" s="3">
        <v>3</v>
      </c>
      <c r="AB112" s="3">
        <v>0</v>
      </c>
      <c r="AC112" s="3">
        <f t="shared" si="4"/>
        <v>590</v>
      </c>
      <c r="AD112" s="3">
        <v>4</v>
      </c>
      <c r="AE112" s="16">
        <f t="shared" si="5"/>
        <v>6.7340067340067337E-3</v>
      </c>
    </row>
    <row r="113" spans="1:31" x14ac:dyDescent="0.5">
      <c r="A113" s="3">
        <v>51</v>
      </c>
      <c r="B113" s="3">
        <v>20</v>
      </c>
      <c r="C113" s="3">
        <v>1063</v>
      </c>
      <c r="D113" s="3">
        <v>3</v>
      </c>
      <c r="E113" s="3">
        <v>144</v>
      </c>
      <c r="F113" s="3">
        <v>371</v>
      </c>
      <c r="G113" s="3">
        <v>508</v>
      </c>
      <c r="H113" s="16">
        <f t="shared" si="3"/>
        <v>0.47789275634995299</v>
      </c>
      <c r="I113" s="3">
        <v>1000</v>
      </c>
      <c r="J113" s="3">
        <v>0</v>
      </c>
      <c r="K113" s="3">
        <v>0</v>
      </c>
      <c r="L113" s="3">
        <v>0</v>
      </c>
      <c r="M113" s="3">
        <v>230</v>
      </c>
      <c r="N113" s="3">
        <v>10</v>
      </c>
      <c r="O113" s="3">
        <v>16</v>
      </c>
      <c r="P113" s="3">
        <v>0</v>
      </c>
      <c r="Q113" s="3">
        <v>1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213</v>
      </c>
      <c r="Z113" s="3">
        <v>23</v>
      </c>
      <c r="AA113" s="3">
        <v>6</v>
      </c>
      <c r="AB113" s="3">
        <v>0</v>
      </c>
      <c r="AC113" s="3">
        <f t="shared" si="4"/>
        <v>499</v>
      </c>
      <c r="AD113" s="3">
        <v>8</v>
      </c>
      <c r="AE113" s="16">
        <f t="shared" si="5"/>
        <v>1.5779092702169626E-2</v>
      </c>
    </row>
    <row r="114" spans="1:31" x14ac:dyDescent="0.5">
      <c r="A114" s="3">
        <v>51</v>
      </c>
      <c r="B114" s="3">
        <v>21</v>
      </c>
      <c r="C114" s="3">
        <v>930</v>
      </c>
      <c r="D114" s="3">
        <v>7</v>
      </c>
      <c r="E114" s="3">
        <v>110</v>
      </c>
      <c r="F114" s="3">
        <v>360</v>
      </c>
      <c r="G114" s="3">
        <v>460</v>
      </c>
      <c r="H114" s="16">
        <f t="shared" si="3"/>
        <v>0.4946236559139785</v>
      </c>
      <c r="I114" s="3">
        <v>850</v>
      </c>
      <c r="J114" s="3">
        <v>2</v>
      </c>
      <c r="K114" s="3">
        <v>0</v>
      </c>
      <c r="L114" s="3">
        <v>0</v>
      </c>
      <c r="M114" s="3">
        <v>168</v>
      </c>
      <c r="N114" s="3">
        <v>10</v>
      </c>
      <c r="O114" s="3">
        <v>22</v>
      </c>
      <c r="P114" s="3">
        <v>0</v>
      </c>
      <c r="Q114" s="3">
        <v>0</v>
      </c>
      <c r="R114" s="3">
        <v>1</v>
      </c>
      <c r="S114" s="3">
        <v>3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238</v>
      </c>
      <c r="Z114" s="3">
        <v>5</v>
      </c>
      <c r="AA114" s="3">
        <v>2</v>
      </c>
      <c r="AB114" s="3">
        <v>0</v>
      </c>
      <c r="AC114" s="3">
        <f t="shared" si="4"/>
        <v>451</v>
      </c>
      <c r="AD114" s="3">
        <v>9</v>
      </c>
      <c r="AE114" s="16">
        <f t="shared" si="5"/>
        <v>1.9565217391304349E-2</v>
      </c>
    </row>
    <row r="115" spans="1:31" x14ac:dyDescent="0.5">
      <c r="A115" s="3">
        <v>51</v>
      </c>
      <c r="B115" s="3">
        <v>22</v>
      </c>
      <c r="C115" s="3">
        <v>1041</v>
      </c>
      <c r="D115" s="3">
        <v>5</v>
      </c>
      <c r="E115" s="3">
        <v>175</v>
      </c>
      <c r="F115" s="3">
        <v>390</v>
      </c>
      <c r="G115" s="3">
        <v>491</v>
      </c>
      <c r="H115" s="16">
        <f t="shared" si="3"/>
        <v>0.47166186359269935</v>
      </c>
      <c r="I115" s="3">
        <v>950</v>
      </c>
      <c r="J115" s="3">
        <v>1</v>
      </c>
      <c r="K115" s="3">
        <v>0</v>
      </c>
      <c r="L115" s="3">
        <v>2</v>
      </c>
      <c r="M115" s="3">
        <v>124</v>
      </c>
      <c r="N115" s="3">
        <v>28</v>
      </c>
      <c r="O115" s="3">
        <v>16</v>
      </c>
      <c r="P115" s="3">
        <v>0</v>
      </c>
      <c r="Q115" s="3">
        <v>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279</v>
      </c>
      <c r="Z115" s="3">
        <v>26</v>
      </c>
      <c r="AA115" s="3">
        <v>0</v>
      </c>
      <c r="AB115" s="3">
        <v>0</v>
      </c>
      <c r="AC115" s="3">
        <f t="shared" si="4"/>
        <v>478</v>
      </c>
      <c r="AD115" s="3">
        <v>13</v>
      </c>
      <c r="AE115" s="16">
        <f t="shared" si="5"/>
        <v>2.6476578411405296E-2</v>
      </c>
    </row>
    <row r="116" spans="1:31" x14ac:dyDescent="0.5">
      <c r="A116" s="3">
        <v>51</v>
      </c>
      <c r="B116" s="3">
        <v>23</v>
      </c>
      <c r="C116" s="3">
        <v>907</v>
      </c>
      <c r="D116" s="3">
        <v>3</v>
      </c>
      <c r="E116" s="3">
        <v>182</v>
      </c>
      <c r="F116" s="3">
        <v>350</v>
      </c>
      <c r="G116" s="3">
        <v>439</v>
      </c>
      <c r="H116" s="16">
        <f t="shared" si="3"/>
        <v>0.48401323042998895</v>
      </c>
      <c r="I116" s="3">
        <v>850</v>
      </c>
      <c r="J116" s="3">
        <v>2</v>
      </c>
      <c r="K116" s="3">
        <v>0</v>
      </c>
      <c r="L116" s="3">
        <v>3</v>
      </c>
      <c r="M116" s="3">
        <v>127</v>
      </c>
      <c r="N116" s="3">
        <v>6</v>
      </c>
      <c r="O116" s="3">
        <v>10</v>
      </c>
      <c r="P116" s="3">
        <v>0</v>
      </c>
      <c r="Q116" s="3">
        <v>1</v>
      </c>
      <c r="R116" s="3">
        <v>0</v>
      </c>
      <c r="S116" s="3">
        <v>1</v>
      </c>
      <c r="T116" s="3">
        <v>0</v>
      </c>
      <c r="U116" s="3">
        <v>0</v>
      </c>
      <c r="V116" s="3">
        <v>0</v>
      </c>
      <c r="W116" s="3">
        <v>2</v>
      </c>
      <c r="X116" s="3">
        <v>2</v>
      </c>
      <c r="Y116" s="3">
        <v>262</v>
      </c>
      <c r="Z116" s="3">
        <v>17</v>
      </c>
      <c r="AA116" s="3">
        <v>1</v>
      </c>
      <c r="AB116" s="3">
        <v>0</v>
      </c>
      <c r="AC116" s="3">
        <f t="shared" si="4"/>
        <v>434</v>
      </c>
      <c r="AD116" s="3">
        <v>5</v>
      </c>
      <c r="AE116" s="16">
        <f t="shared" si="5"/>
        <v>1.1389521640091117E-2</v>
      </c>
    </row>
    <row r="117" spans="1:31" x14ac:dyDescent="0.5">
      <c r="A117" s="3">
        <v>51</v>
      </c>
      <c r="B117" s="3">
        <v>24</v>
      </c>
      <c r="C117" s="3">
        <v>1246</v>
      </c>
      <c r="D117" s="3">
        <v>6</v>
      </c>
      <c r="E117" s="3">
        <v>195</v>
      </c>
      <c r="F117" s="3">
        <v>452</v>
      </c>
      <c r="G117" s="3">
        <v>593</v>
      </c>
      <c r="H117" s="16">
        <f t="shared" si="3"/>
        <v>0.47592295345104335</v>
      </c>
      <c r="I117" s="3">
        <v>1150</v>
      </c>
      <c r="J117" s="3">
        <v>0</v>
      </c>
      <c r="K117" s="3">
        <v>0</v>
      </c>
      <c r="L117" s="3">
        <v>1</v>
      </c>
      <c r="M117" s="3">
        <v>171</v>
      </c>
      <c r="N117" s="3">
        <v>8</v>
      </c>
      <c r="O117" s="3">
        <v>29</v>
      </c>
      <c r="P117" s="3">
        <v>0</v>
      </c>
      <c r="Q117" s="3">
        <v>1</v>
      </c>
      <c r="R117" s="3">
        <v>0</v>
      </c>
      <c r="S117" s="3">
        <v>3</v>
      </c>
      <c r="T117" s="3">
        <v>1</v>
      </c>
      <c r="U117" s="3">
        <v>1</v>
      </c>
      <c r="V117" s="3">
        <v>0</v>
      </c>
      <c r="W117" s="3">
        <v>0</v>
      </c>
      <c r="X117" s="3">
        <v>0</v>
      </c>
      <c r="Y117" s="3">
        <v>351</v>
      </c>
      <c r="Z117" s="3">
        <v>19</v>
      </c>
      <c r="AA117" s="3">
        <v>1</v>
      </c>
      <c r="AB117" s="3">
        <v>0</v>
      </c>
      <c r="AC117" s="3">
        <f t="shared" si="4"/>
        <v>586</v>
      </c>
      <c r="AD117" s="3">
        <v>7</v>
      </c>
      <c r="AE117" s="16">
        <f t="shared" si="5"/>
        <v>1.1804384485666104E-2</v>
      </c>
    </row>
    <row r="118" spans="1:31" x14ac:dyDescent="0.5">
      <c r="A118" s="3">
        <v>51</v>
      </c>
      <c r="B118" s="3">
        <v>25</v>
      </c>
      <c r="C118" s="3">
        <v>349</v>
      </c>
      <c r="D118" s="3">
        <v>3</v>
      </c>
      <c r="E118" s="3">
        <v>71</v>
      </c>
      <c r="F118" s="3">
        <v>174</v>
      </c>
      <c r="G118" s="3">
        <v>217</v>
      </c>
      <c r="H118" s="16">
        <f t="shared" si="3"/>
        <v>0.62177650429799425</v>
      </c>
      <c r="I118" s="3">
        <v>350</v>
      </c>
      <c r="J118" s="3">
        <v>0</v>
      </c>
      <c r="K118" s="3">
        <v>0</v>
      </c>
      <c r="L118" s="3">
        <v>0</v>
      </c>
      <c r="M118" s="3">
        <v>78</v>
      </c>
      <c r="N118" s="3">
        <v>1</v>
      </c>
      <c r="O118" s="3">
        <v>14</v>
      </c>
      <c r="P118" s="3">
        <v>0</v>
      </c>
      <c r="Q118" s="3">
        <v>1</v>
      </c>
      <c r="R118" s="3">
        <v>0</v>
      </c>
      <c r="S118" s="3">
        <v>0</v>
      </c>
      <c r="T118" s="3">
        <v>0</v>
      </c>
      <c r="U118" s="3">
        <v>0</v>
      </c>
      <c r="V118" s="3">
        <v>1</v>
      </c>
      <c r="W118" s="3">
        <v>0</v>
      </c>
      <c r="X118" s="3">
        <v>0</v>
      </c>
      <c r="Y118" s="3">
        <v>111</v>
      </c>
      <c r="Z118" s="3">
        <v>9</v>
      </c>
      <c r="AA118" s="3">
        <v>0</v>
      </c>
      <c r="AB118" s="3">
        <v>0</v>
      </c>
      <c r="AC118" s="3">
        <f t="shared" si="4"/>
        <v>215</v>
      </c>
      <c r="AD118" s="3">
        <v>2</v>
      </c>
      <c r="AE118" s="16">
        <f t="shared" si="5"/>
        <v>9.2165898617511521E-3</v>
      </c>
    </row>
    <row r="119" spans="1:31" x14ac:dyDescent="0.5">
      <c r="A119" s="3">
        <v>51</v>
      </c>
      <c r="B119" s="3">
        <v>26</v>
      </c>
      <c r="C119" s="3">
        <v>938</v>
      </c>
      <c r="D119" s="3">
        <v>7</v>
      </c>
      <c r="E119" s="3">
        <v>154</v>
      </c>
      <c r="F119" s="3">
        <v>354</v>
      </c>
      <c r="G119" s="3">
        <v>489</v>
      </c>
      <c r="H119" s="16">
        <f t="shared" si="3"/>
        <v>0.52132196162046907</v>
      </c>
      <c r="I119" s="3">
        <v>850</v>
      </c>
      <c r="J119" s="3">
        <v>1</v>
      </c>
      <c r="K119" s="3">
        <v>0</v>
      </c>
      <c r="L119" s="3">
        <v>0</v>
      </c>
      <c r="M119" s="3">
        <v>183</v>
      </c>
      <c r="N119" s="3">
        <v>6</v>
      </c>
      <c r="O119" s="3">
        <v>38</v>
      </c>
      <c r="P119" s="3">
        <v>0</v>
      </c>
      <c r="Q119" s="3">
        <v>1</v>
      </c>
      <c r="R119" s="3">
        <v>3</v>
      </c>
      <c r="S119" s="3">
        <v>1</v>
      </c>
      <c r="T119" s="3">
        <v>0</v>
      </c>
      <c r="U119" s="3">
        <v>1</v>
      </c>
      <c r="V119" s="3">
        <v>0</v>
      </c>
      <c r="W119" s="3">
        <v>0</v>
      </c>
      <c r="X119" s="3">
        <v>0</v>
      </c>
      <c r="Y119" s="3">
        <v>223</v>
      </c>
      <c r="Z119" s="3">
        <v>12</v>
      </c>
      <c r="AA119" s="3">
        <v>2</v>
      </c>
      <c r="AB119" s="3">
        <v>0</v>
      </c>
      <c r="AC119" s="3">
        <f t="shared" si="4"/>
        <v>471</v>
      </c>
      <c r="AD119" s="3">
        <v>18</v>
      </c>
      <c r="AE119" s="16">
        <f t="shared" si="5"/>
        <v>3.6809815950920248E-2</v>
      </c>
    </row>
    <row r="120" spans="1:31" x14ac:dyDescent="0.5">
      <c r="A120" s="3">
        <v>51</v>
      </c>
      <c r="B120" s="3">
        <v>27</v>
      </c>
      <c r="C120" s="3">
        <v>1116</v>
      </c>
      <c r="D120" s="3">
        <v>4</v>
      </c>
      <c r="E120" s="3">
        <v>207</v>
      </c>
      <c r="F120" s="3">
        <v>370</v>
      </c>
      <c r="G120" s="3">
        <v>507</v>
      </c>
      <c r="H120" s="16">
        <f t="shared" si="3"/>
        <v>0.45430107526881719</v>
      </c>
      <c r="I120" s="3">
        <v>1050</v>
      </c>
      <c r="J120" s="3">
        <v>0</v>
      </c>
      <c r="K120" s="3">
        <v>0</v>
      </c>
      <c r="L120" s="3">
        <v>0</v>
      </c>
      <c r="M120" s="3">
        <v>183</v>
      </c>
      <c r="N120" s="3">
        <v>11</v>
      </c>
      <c r="O120" s="3">
        <v>48</v>
      </c>
      <c r="P120" s="3">
        <v>0</v>
      </c>
      <c r="Q120" s="3">
        <v>0</v>
      </c>
      <c r="R120" s="3">
        <v>0</v>
      </c>
      <c r="S120" s="3">
        <v>2</v>
      </c>
      <c r="T120" s="3">
        <v>3</v>
      </c>
      <c r="U120" s="3">
        <v>0</v>
      </c>
      <c r="V120" s="3">
        <v>0</v>
      </c>
      <c r="W120" s="3">
        <v>2</v>
      </c>
      <c r="X120" s="3">
        <v>0</v>
      </c>
      <c r="Y120" s="3">
        <v>233</v>
      </c>
      <c r="Z120" s="3">
        <v>15</v>
      </c>
      <c r="AA120" s="3">
        <v>2</v>
      </c>
      <c r="AB120" s="3">
        <v>0</v>
      </c>
      <c r="AC120" s="3">
        <f t="shared" si="4"/>
        <v>499</v>
      </c>
      <c r="AD120" s="3">
        <v>8</v>
      </c>
      <c r="AE120" s="16">
        <f t="shared" si="5"/>
        <v>1.5779092702169626E-2</v>
      </c>
    </row>
    <row r="121" spans="1:31" x14ac:dyDescent="0.5">
      <c r="A121" s="3">
        <v>51</v>
      </c>
      <c r="B121" s="3">
        <v>28</v>
      </c>
      <c r="C121" s="3">
        <v>943</v>
      </c>
      <c r="D121" s="3">
        <v>1</v>
      </c>
      <c r="E121" s="3">
        <v>123</v>
      </c>
      <c r="F121" s="3">
        <v>293</v>
      </c>
      <c r="G121" s="3">
        <v>402</v>
      </c>
      <c r="H121" s="16">
        <f t="shared" si="3"/>
        <v>0.42629904559915166</v>
      </c>
      <c r="I121" s="3">
        <v>850</v>
      </c>
      <c r="J121" s="3">
        <v>0</v>
      </c>
      <c r="K121" s="3">
        <v>0</v>
      </c>
      <c r="L121" s="3">
        <v>2</v>
      </c>
      <c r="M121" s="3">
        <v>82</v>
      </c>
      <c r="N121" s="3">
        <v>5</v>
      </c>
      <c r="O121" s="3">
        <v>37</v>
      </c>
      <c r="P121" s="3">
        <v>0</v>
      </c>
      <c r="Q121" s="3">
        <v>0</v>
      </c>
      <c r="R121" s="3">
        <v>0</v>
      </c>
      <c r="S121" s="3">
        <v>1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265</v>
      </c>
      <c r="Z121" s="3">
        <v>5</v>
      </c>
      <c r="AA121" s="3">
        <v>0</v>
      </c>
      <c r="AB121" s="3">
        <v>0</v>
      </c>
      <c r="AC121" s="3">
        <f t="shared" si="4"/>
        <v>398</v>
      </c>
      <c r="AD121" s="3">
        <v>4</v>
      </c>
      <c r="AE121" s="16">
        <f t="shared" si="5"/>
        <v>9.9502487562189053E-3</v>
      </c>
    </row>
    <row r="122" spans="1:31" x14ac:dyDescent="0.5">
      <c r="A122" s="3">
        <v>51</v>
      </c>
      <c r="B122" s="3">
        <v>29</v>
      </c>
      <c r="C122" s="3">
        <v>924</v>
      </c>
      <c r="D122" s="3">
        <v>0</v>
      </c>
      <c r="E122" s="3">
        <v>210</v>
      </c>
      <c r="F122" s="3">
        <v>402</v>
      </c>
      <c r="G122" s="3">
        <v>506</v>
      </c>
      <c r="H122" s="16">
        <f t="shared" si="3"/>
        <v>0.54761904761904767</v>
      </c>
      <c r="I122" s="3">
        <v>850</v>
      </c>
      <c r="J122" s="3">
        <v>0</v>
      </c>
      <c r="K122" s="3">
        <v>0</v>
      </c>
      <c r="L122" s="3">
        <v>0</v>
      </c>
      <c r="M122" s="3">
        <v>94</v>
      </c>
      <c r="N122" s="3">
        <v>11</v>
      </c>
      <c r="O122" s="3">
        <v>20</v>
      </c>
      <c r="P122" s="3">
        <v>0</v>
      </c>
      <c r="Q122" s="3">
        <v>3</v>
      </c>
      <c r="R122" s="3">
        <v>0</v>
      </c>
      <c r="S122" s="3">
        <v>0</v>
      </c>
      <c r="T122" s="3">
        <v>1</v>
      </c>
      <c r="U122" s="3">
        <v>3</v>
      </c>
      <c r="V122" s="3">
        <v>0</v>
      </c>
      <c r="W122" s="3">
        <v>0</v>
      </c>
      <c r="X122" s="3">
        <v>0</v>
      </c>
      <c r="Y122" s="3">
        <v>362</v>
      </c>
      <c r="Z122" s="3">
        <v>4</v>
      </c>
      <c r="AA122" s="3">
        <v>2</v>
      </c>
      <c r="AB122" s="3">
        <v>0</v>
      </c>
      <c r="AC122" s="3">
        <f t="shared" si="4"/>
        <v>500</v>
      </c>
      <c r="AD122" s="3">
        <v>6</v>
      </c>
      <c r="AE122" s="16">
        <f t="shared" si="5"/>
        <v>1.1857707509881422E-2</v>
      </c>
    </row>
    <row r="123" spans="1:31" x14ac:dyDescent="0.5">
      <c r="A123" s="3">
        <v>51</v>
      </c>
      <c r="B123" s="3">
        <v>30</v>
      </c>
      <c r="C123" s="3">
        <v>964</v>
      </c>
      <c r="D123" s="3">
        <v>4</v>
      </c>
      <c r="E123" s="3">
        <v>200</v>
      </c>
      <c r="F123" s="3">
        <v>490</v>
      </c>
      <c r="G123" s="3">
        <v>566</v>
      </c>
      <c r="H123" s="16">
        <f t="shared" si="3"/>
        <v>0.58713692946058094</v>
      </c>
      <c r="I123" s="3">
        <v>900</v>
      </c>
      <c r="J123" s="3">
        <v>2</v>
      </c>
      <c r="K123" s="3">
        <v>0</v>
      </c>
      <c r="L123" s="3">
        <v>1</v>
      </c>
      <c r="M123" s="3">
        <v>179</v>
      </c>
      <c r="N123" s="3">
        <v>10</v>
      </c>
      <c r="O123" s="3">
        <v>29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323</v>
      </c>
      <c r="Z123" s="3">
        <v>3</v>
      </c>
      <c r="AA123" s="3">
        <v>1</v>
      </c>
      <c r="AB123" s="3">
        <v>0</v>
      </c>
      <c r="AC123" s="3">
        <f t="shared" si="4"/>
        <v>548</v>
      </c>
      <c r="AD123" s="3">
        <v>18</v>
      </c>
      <c r="AE123" s="16">
        <f t="shared" si="5"/>
        <v>3.1802120141342753E-2</v>
      </c>
    </row>
    <row r="124" spans="1:31" x14ac:dyDescent="0.5">
      <c r="A124" s="3">
        <v>51</v>
      </c>
      <c r="B124" s="3">
        <v>31</v>
      </c>
      <c r="C124" s="3">
        <v>576</v>
      </c>
      <c r="D124" s="3">
        <v>3</v>
      </c>
      <c r="E124" s="3">
        <v>95</v>
      </c>
      <c r="F124" s="3">
        <v>296</v>
      </c>
      <c r="G124" s="3">
        <v>348</v>
      </c>
      <c r="H124" s="16">
        <f t="shared" si="3"/>
        <v>0.60416666666666663</v>
      </c>
      <c r="I124" s="3">
        <v>500</v>
      </c>
      <c r="J124" s="3">
        <v>0</v>
      </c>
      <c r="K124" s="3">
        <v>0</v>
      </c>
      <c r="L124" s="3">
        <v>0</v>
      </c>
      <c r="M124" s="3">
        <v>114</v>
      </c>
      <c r="N124" s="3">
        <v>10</v>
      </c>
      <c r="O124" s="3">
        <v>7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199</v>
      </c>
      <c r="Z124" s="3">
        <v>2</v>
      </c>
      <c r="AA124" s="3">
        <v>0</v>
      </c>
      <c r="AB124" s="3">
        <v>0</v>
      </c>
      <c r="AC124" s="3">
        <f t="shared" si="4"/>
        <v>332</v>
      </c>
      <c r="AD124" s="3">
        <v>15</v>
      </c>
      <c r="AE124" s="16">
        <f t="shared" si="5"/>
        <v>4.3227665706051875E-2</v>
      </c>
    </row>
    <row r="125" spans="1:31" x14ac:dyDescent="0.5">
      <c r="A125" s="3">
        <v>51</v>
      </c>
      <c r="B125" s="3">
        <v>32</v>
      </c>
      <c r="C125" s="3">
        <v>688</v>
      </c>
      <c r="D125" s="3">
        <v>7</v>
      </c>
      <c r="E125" s="3">
        <v>116</v>
      </c>
      <c r="F125" s="3">
        <v>277</v>
      </c>
      <c r="G125" s="3">
        <v>324</v>
      </c>
      <c r="H125" s="16">
        <f t="shared" si="3"/>
        <v>0.47093023255813954</v>
      </c>
      <c r="I125" s="3">
        <v>650</v>
      </c>
      <c r="J125" s="3">
        <v>0</v>
      </c>
      <c r="K125" s="3">
        <v>0</v>
      </c>
      <c r="L125" s="3">
        <v>0</v>
      </c>
      <c r="M125" s="3">
        <v>102</v>
      </c>
      <c r="N125" s="3">
        <v>8</v>
      </c>
      <c r="O125" s="3">
        <v>11</v>
      </c>
      <c r="P125" s="3">
        <v>0</v>
      </c>
      <c r="Q125" s="3">
        <v>3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1</v>
      </c>
      <c r="Y125" s="3">
        <v>192</v>
      </c>
      <c r="Z125" s="3">
        <v>3</v>
      </c>
      <c r="AA125" s="3">
        <v>0</v>
      </c>
      <c r="AB125" s="3">
        <v>0</v>
      </c>
      <c r="AC125" s="3">
        <f t="shared" si="4"/>
        <v>320</v>
      </c>
      <c r="AD125" s="3">
        <v>4</v>
      </c>
      <c r="AE125" s="16">
        <f t="shared" si="5"/>
        <v>1.2345679012345678E-2</v>
      </c>
    </row>
    <row r="126" spans="1:31" x14ac:dyDescent="0.5">
      <c r="A126" s="3">
        <v>51</v>
      </c>
      <c r="B126" s="3">
        <v>33</v>
      </c>
      <c r="C126" s="3">
        <v>1062</v>
      </c>
      <c r="D126" s="3">
        <v>1</v>
      </c>
      <c r="E126" s="3">
        <v>141</v>
      </c>
      <c r="F126" s="3">
        <v>389</v>
      </c>
      <c r="G126" s="3">
        <v>483</v>
      </c>
      <c r="H126" s="16">
        <f t="shared" si="3"/>
        <v>0.45480225988700562</v>
      </c>
      <c r="I126" s="3">
        <v>1000</v>
      </c>
      <c r="J126" s="3">
        <v>0</v>
      </c>
      <c r="K126" s="3">
        <v>0</v>
      </c>
      <c r="L126" s="3">
        <v>1</v>
      </c>
      <c r="M126" s="3">
        <v>152</v>
      </c>
      <c r="N126" s="3">
        <v>6</v>
      </c>
      <c r="O126" s="3">
        <v>23</v>
      </c>
      <c r="P126" s="3">
        <v>0</v>
      </c>
      <c r="Q126" s="3">
        <v>0</v>
      </c>
      <c r="R126" s="3">
        <v>1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251</v>
      </c>
      <c r="Z126" s="3">
        <v>38</v>
      </c>
      <c r="AA126" s="3">
        <v>1</v>
      </c>
      <c r="AB126" s="3">
        <v>0</v>
      </c>
      <c r="AC126" s="3">
        <f t="shared" si="4"/>
        <v>473</v>
      </c>
      <c r="AD126" s="3">
        <v>10</v>
      </c>
      <c r="AE126" s="16">
        <f t="shared" si="5"/>
        <v>2.0703933747412008E-2</v>
      </c>
    </row>
    <row r="127" spans="1:31" x14ac:dyDescent="0.5">
      <c r="A127" s="3">
        <v>51</v>
      </c>
      <c r="B127" s="3">
        <v>34</v>
      </c>
      <c r="C127" s="3">
        <v>1346</v>
      </c>
      <c r="D127" s="3">
        <v>1</v>
      </c>
      <c r="E127" s="3">
        <v>188</v>
      </c>
      <c r="F127" s="3">
        <v>435</v>
      </c>
      <c r="G127" s="3">
        <v>651</v>
      </c>
      <c r="H127" s="16">
        <f t="shared" si="3"/>
        <v>0.48365527488855869</v>
      </c>
      <c r="I127" s="3">
        <v>1250</v>
      </c>
      <c r="J127" s="3">
        <v>1</v>
      </c>
      <c r="K127" s="3">
        <v>0</v>
      </c>
      <c r="L127" s="3">
        <v>1</v>
      </c>
      <c r="M127" s="3">
        <v>230</v>
      </c>
      <c r="N127" s="3">
        <v>8</v>
      </c>
      <c r="O127" s="3">
        <v>36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1</v>
      </c>
      <c r="V127" s="3">
        <v>1</v>
      </c>
      <c r="W127" s="3">
        <v>0</v>
      </c>
      <c r="X127" s="3">
        <v>0</v>
      </c>
      <c r="Y127" s="3">
        <v>347</v>
      </c>
      <c r="Z127" s="3">
        <v>19</v>
      </c>
      <c r="AA127" s="3">
        <v>0</v>
      </c>
      <c r="AB127" s="3">
        <v>0</v>
      </c>
      <c r="AC127" s="3">
        <f t="shared" si="4"/>
        <v>644</v>
      </c>
      <c r="AD127" s="3">
        <v>7</v>
      </c>
      <c r="AE127" s="16">
        <f t="shared" si="5"/>
        <v>1.0752688172043012E-2</v>
      </c>
    </row>
    <row r="128" spans="1:31" x14ac:dyDescent="0.5">
      <c r="A128" s="3">
        <v>51</v>
      </c>
      <c r="B128" s="3">
        <v>35</v>
      </c>
      <c r="C128" s="3">
        <v>930</v>
      </c>
      <c r="D128" s="3">
        <v>5</v>
      </c>
      <c r="E128" s="3">
        <v>100</v>
      </c>
      <c r="F128" s="3">
        <v>240</v>
      </c>
      <c r="G128" s="3">
        <v>349</v>
      </c>
      <c r="H128" s="16">
        <f t="shared" si="3"/>
        <v>0.37526881720430105</v>
      </c>
      <c r="I128" s="3">
        <v>850</v>
      </c>
      <c r="J128" s="3">
        <v>0</v>
      </c>
      <c r="K128" s="3">
        <v>0</v>
      </c>
      <c r="L128" s="3">
        <v>0</v>
      </c>
      <c r="M128" s="3">
        <v>87</v>
      </c>
      <c r="N128" s="3">
        <v>10</v>
      </c>
      <c r="O128" s="3">
        <v>27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1</v>
      </c>
      <c r="X128" s="3">
        <v>0</v>
      </c>
      <c r="Y128" s="3">
        <v>214</v>
      </c>
      <c r="Z128" s="3">
        <v>5</v>
      </c>
      <c r="AA128" s="3">
        <v>0</v>
      </c>
      <c r="AB128" s="3">
        <v>0</v>
      </c>
      <c r="AC128" s="3">
        <f t="shared" si="4"/>
        <v>344</v>
      </c>
      <c r="AD128" s="3">
        <v>5</v>
      </c>
      <c r="AE128" s="16">
        <f t="shared" si="5"/>
        <v>1.4326647564469915E-2</v>
      </c>
    </row>
    <row r="129" spans="1:31" x14ac:dyDescent="0.5">
      <c r="A129" s="3">
        <v>51</v>
      </c>
      <c r="B129" s="3">
        <v>36</v>
      </c>
      <c r="C129" s="3">
        <v>1048</v>
      </c>
      <c r="D129" s="3">
        <v>1</v>
      </c>
      <c r="E129" s="3">
        <v>160</v>
      </c>
      <c r="F129" s="3">
        <v>394</v>
      </c>
      <c r="G129" s="3">
        <v>498</v>
      </c>
      <c r="H129" s="16">
        <f t="shared" si="3"/>
        <v>0.47519083969465647</v>
      </c>
      <c r="I129" s="3">
        <v>1000</v>
      </c>
      <c r="J129" s="3">
        <v>0</v>
      </c>
      <c r="K129" s="3">
        <v>0</v>
      </c>
      <c r="L129" s="3">
        <v>1</v>
      </c>
      <c r="M129" s="3">
        <v>149</v>
      </c>
      <c r="N129" s="3">
        <v>14</v>
      </c>
      <c r="O129" s="3">
        <v>44</v>
      </c>
      <c r="P129" s="3">
        <v>0</v>
      </c>
      <c r="Q129" s="3">
        <v>0</v>
      </c>
      <c r="R129" s="3">
        <v>0</v>
      </c>
      <c r="S129" s="3">
        <v>1</v>
      </c>
      <c r="T129" s="3">
        <v>0</v>
      </c>
      <c r="U129" s="3">
        <v>0</v>
      </c>
      <c r="V129" s="3">
        <v>0</v>
      </c>
      <c r="W129" s="3">
        <v>1</v>
      </c>
      <c r="X129" s="3">
        <v>0</v>
      </c>
      <c r="Y129" s="3">
        <v>216</v>
      </c>
      <c r="Z129" s="3">
        <v>59</v>
      </c>
      <c r="AA129" s="3">
        <v>1</v>
      </c>
      <c r="AB129" s="3">
        <v>0</v>
      </c>
      <c r="AC129" s="3">
        <f t="shared" si="4"/>
        <v>486</v>
      </c>
      <c r="AD129" s="3">
        <v>12</v>
      </c>
      <c r="AE129" s="16">
        <f t="shared" si="5"/>
        <v>2.4096385542168676E-2</v>
      </c>
    </row>
    <row r="130" spans="1:31" x14ac:dyDescent="0.5">
      <c r="A130" s="3">
        <v>51</v>
      </c>
      <c r="B130" s="3">
        <v>37</v>
      </c>
      <c r="C130" s="3">
        <v>1190</v>
      </c>
      <c r="D130" s="3">
        <v>1</v>
      </c>
      <c r="E130" s="3">
        <v>152</v>
      </c>
      <c r="F130" s="3">
        <v>352</v>
      </c>
      <c r="G130" s="3">
        <v>472</v>
      </c>
      <c r="H130" s="16">
        <f t="shared" si="3"/>
        <v>0.39663865546218485</v>
      </c>
      <c r="I130" s="3">
        <v>1050</v>
      </c>
      <c r="J130" s="3">
        <v>0</v>
      </c>
      <c r="K130" s="3">
        <v>0</v>
      </c>
      <c r="L130" s="3">
        <v>2</v>
      </c>
      <c r="M130" s="3">
        <v>168</v>
      </c>
      <c r="N130" s="3">
        <v>23</v>
      </c>
      <c r="O130" s="3">
        <v>31</v>
      </c>
      <c r="P130" s="3">
        <v>0</v>
      </c>
      <c r="Q130" s="3">
        <v>1</v>
      </c>
      <c r="R130" s="3">
        <v>1</v>
      </c>
      <c r="S130" s="3">
        <v>0</v>
      </c>
      <c r="T130" s="3">
        <v>1</v>
      </c>
      <c r="U130" s="3">
        <v>0</v>
      </c>
      <c r="V130" s="3">
        <v>0</v>
      </c>
      <c r="W130" s="3">
        <v>1</v>
      </c>
      <c r="X130" s="3">
        <v>0</v>
      </c>
      <c r="Y130" s="3">
        <v>190</v>
      </c>
      <c r="Z130" s="3">
        <v>32</v>
      </c>
      <c r="AA130" s="3">
        <v>1</v>
      </c>
      <c r="AB130" s="3">
        <v>0</v>
      </c>
      <c r="AC130" s="3">
        <f t="shared" si="4"/>
        <v>451</v>
      </c>
      <c r="AD130" s="3">
        <v>21</v>
      </c>
      <c r="AE130" s="16">
        <f t="shared" si="5"/>
        <v>4.4491525423728813E-2</v>
      </c>
    </row>
    <row r="131" spans="1:31" x14ac:dyDescent="0.5">
      <c r="A131" s="3">
        <v>51</v>
      </c>
      <c r="B131" s="3">
        <v>38</v>
      </c>
      <c r="C131" s="3">
        <v>662</v>
      </c>
      <c r="D131" s="3">
        <v>3</v>
      </c>
      <c r="E131" s="3">
        <v>133</v>
      </c>
      <c r="F131" s="3">
        <v>283</v>
      </c>
      <c r="G131" s="3">
        <v>371</v>
      </c>
      <c r="H131" s="16">
        <f t="shared" si="3"/>
        <v>0.56042296072507558</v>
      </c>
      <c r="I131" s="3">
        <v>600</v>
      </c>
      <c r="J131" s="3">
        <v>0</v>
      </c>
      <c r="K131" s="3">
        <v>0</v>
      </c>
      <c r="L131" s="3">
        <v>1</v>
      </c>
      <c r="M131" s="3">
        <v>85</v>
      </c>
      <c r="N131" s="3">
        <v>10</v>
      </c>
      <c r="O131" s="3">
        <v>14</v>
      </c>
      <c r="P131" s="3">
        <v>0</v>
      </c>
      <c r="Q131" s="3">
        <v>0</v>
      </c>
      <c r="R131" s="3">
        <v>0</v>
      </c>
      <c r="S131" s="3">
        <v>1</v>
      </c>
      <c r="T131" s="3">
        <v>1</v>
      </c>
      <c r="U131" s="3">
        <v>0</v>
      </c>
      <c r="V131" s="3">
        <v>0</v>
      </c>
      <c r="W131" s="3">
        <v>0</v>
      </c>
      <c r="X131" s="3">
        <v>1</v>
      </c>
      <c r="Y131" s="3">
        <v>193</v>
      </c>
      <c r="Z131" s="3">
        <v>57</v>
      </c>
      <c r="AA131" s="3">
        <v>1</v>
      </c>
      <c r="AB131" s="3">
        <v>0</v>
      </c>
      <c r="AC131" s="3">
        <f t="shared" si="4"/>
        <v>364</v>
      </c>
      <c r="AD131" s="3">
        <v>7</v>
      </c>
      <c r="AE131" s="16">
        <f t="shared" si="5"/>
        <v>1.8867924528301886E-2</v>
      </c>
    </row>
    <row r="132" spans="1:31" x14ac:dyDescent="0.5">
      <c r="A132" s="3">
        <v>51</v>
      </c>
      <c r="B132" s="3">
        <v>39</v>
      </c>
      <c r="C132" s="3">
        <v>818</v>
      </c>
      <c r="D132" s="3">
        <v>1</v>
      </c>
      <c r="E132" s="3">
        <v>163</v>
      </c>
      <c r="F132" s="3">
        <v>322</v>
      </c>
      <c r="G132" s="3">
        <v>414</v>
      </c>
      <c r="H132" s="16">
        <f t="shared" ref="H132:H196" si="8">G132/C132</f>
        <v>0.50611246943765276</v>
      </c>
      <c r="I132" s="3">
        <v>750</v>
      </c>
      <c r="J132" s="3">
        <v>2</v>
      </c>
      <c r="K132" s="3">
        <v>0</v>
      </c>
      <c r="L132" s="3">
        <v>1</v>
      </c>
      <c r="M132" s="3">
        <v>112</v>
      </c>
      <c r="N132" s="3">
        <v>11</v>
      </c>
      <c r="O132" s="3">
        <v>26</v>
      </c>
      <c r="P132" s="3">
        <v>0</v>
      </c>
      <c r="Q132" s="3">
        <v>0</v>
      </c>
      <c r="R132" s="3">
        <v>1</v>
      </c>
      <c r="S132" s="3">
        <v>1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222</v>
      </c>
      <c r="Z132" s="3">
        <v>29</v>
      </c>
      <c r="AA132" s="3">
        <v>1</v>
      </c>
      <c r="AB132" s="3">
        <v>0</v>
      </c>
      <c r="AC132" s="3">
        <f t="shared" ref="AC132:AC196" si="9">SUM(J132:AB132)</f>
        <v>406</v>
      </c>
      <c r="AD132" s="3">
        <v>8</v>
      </c>
      <c r="AE132" s="16">
        <f t="shared" ref="AE132:AE196" si="10">AD132/(AC132+AD132)</f>
        <v>1.932367149758454E-2</v>
      </c>
    </row>
    <row r="133" spans="1:31" x14ac:dyDescent="0.5">
      <c r="A133" s="3">
        <v>51</v>
      </c>
      <c r="B133" s="3">
        <v>40</v>
      </c>
      <c r="C133" s="3">
        <v>991</v>
      </c>
      <c r="D133" s="3">
        <v>5</v>
      </c>
      <c r="E133" s="3">
        <v>168</v>
      </c>
      <c r="F133" s="3">
        <v>370</v>
      </c>
      <c r="G133" s="3">
        <v>500</v>
      </c>
      <c r="H133" s="16">
        <f t="shared" si="8"/>
        <v>0.50454086781029261</v>
      </c>
      <c r="I133" s="3">
        <v>900</v>
      </c>
      <c r="J133" s="3">
        <v>1</v>
      </c>
      <c r="K133" s="3">
        <v>0</v>
      </c>
      <c r="L133" s="3">
        <v>0</v>
      </c>
      <c r="M133" s="3">
        <v>132</v>
      </c>
      <c r="N133" s="3">
        <v>117</v>
      </c>
      <c r="O133" s="3">
        <v>24</v>
      </c>
      <c r="P133" s="3">
        <v>0</v>
      </c>
      <c r="Q133" s="3">
        <v>1</v>
      </c>
      <c r="R133" s="3">
        <v>2</v>
      </c>
      <c r="S133" s="3">
        <v>0</v>
      </c>
      <c r="T133" s="3">
        <v>0</v>
      </c>
      <c r="U133" s="3">
        <v>0</v>
      </c>
      <c r="V133" s="3">
        <v>1</v>
      </c>
      <c r="W133" s="3">
        <v>1</v>
      </c>
      <c r="X133" s="3">
        <v>0</v>
      </c>
      <c r="Y133" s="3">
        <v>196</v>
      </c>
      <c r="Z133" s="3">
        <v>17</v>
      </c>
      <c r="AA133" s="3">
        <v>1</v>
      </c>
      <c r="AB133" s="3">
        <v>0</v>
      </c>
      <c r="AC133" s="3">
        <f t="shared" si="9"/>
        <v>493</v>
      </c>
      <c r="AD133" s="3">
        <v>7</v>
      </c>
      <c r="AE133" s="16">
        <f t="shared" si="10"/>
        <v>1.4E-2</v>
      </c>
    </row>
    <row r="134" spans="1:31" x14ac:dyDescent="0.5">
      <c r="A134" s="3">
        <v>51</v>
      </c>
      <c r="B134" s="3">
        <v>41</v>
      </c>
      <c r="C134" s="3">
        <v>1024</v>
      </c>
      <c r="D134" s="3">
        <v>2</v>
      </c>
      <c r="E134" s="3">
        <v>153</v>
      </c>
      <c r="F134" s="3">
        <v>349</v>
      </c>
      <c r="G134" s="3">
        <v>448</v>
      </c>
      <c r="H134" s="16">
        <f t="shared" si="8"/>
        <v>0.4375</v>
      </c>
      <c r="I134" s="3">
        <v>950</v>
      </c>
      <c r="J134" s="3">
        <v>1</v>
      </c>
      <c r="K134" s="3">
        <v>0</v>
      </c>
      <c r="L134" s="3">
        <v>2</v>
      </c>
      <c r="M134" s="3">
        <v>103</v>
      </c>
      <c r="N134" s="3">
        <v>7</v>
      </c>
      <c r="O134" s="3">
        <v>50</v>
      </c>
      <c r="P134" s="3">
        <v>0</v>
      </c>
      <c r="Q134" s="3">
        <v>0</v>
      </c>
      <c r="R134" s="3">
        <v>0</v>
      </c>
      <c r="S134" s="3">
        <v>1</v>
      </c>
      <c r="T134" s="3">
        <v>1</v>
      </c>
      <c r="U134" s="3">
        <v>0</v>
      </c>
      <c r="V134" s="3">
        <v>2</v>
      </c>
      <c r="W134" s="3">
        <v>0</v>
      </c>
      <c r="X134" s="3">
        <v>0</v>
      </c>
      <c r="Y134" s="3">
        <v>253</v>
      </c>
      <c r="Z134" s="3">
        <v>7</v>
      </c>
      <c r="AA134" s="3">
        <v>6</v>
      </c>
      <c r="AB134" s="3">
        <v>0</v>
      </c>
      <c r="AC134" s="3">
        <f t="shared" si="9"/>
        <v>433</v>
      </c>
      <c r="AD134" s="3">
        <v>15</v>
      </c>
      <c r="AE134" s="16">
        <f t="shared" si="10"/>
        <v>3.3482142857142856E-2</v>
      </c>
    </row>
    <row r="135" spans="1:31" x14ac:dyDescent="0.5">
      <c r="A135" s="3">
        <v>51</v>
      </c>
      <c r="B135" s="3">
        <v>42</v>
      </c>
      <c r="C135" s="3">
        <v>1177</v>
      </c>
      <c r="D135" s="3">
        <v>9</v>
      </c>
      <c r="E135" s="3">
        <v>189</v>
      </c>
      <c r="F135" s="3">
        <v>363</v>
      </c>
      <c r="G135" s="3">
        <v>490</v>
      </c>
      <c r="H135" s="16">
        <f t="shared" si="8"/>
        <v>0.41631265930331351</v>
      </c>
      <c r="I135" s="3">
        <v>1050</v>
      </c>
      <c r="J135" s="3">
        <v>0</v>
      </c>
      <c r="K135" s="3">
        <v>0</v>
      </c>
      <c r="L135" s="3">
        <v>2</v>
      </c>
      <c r="M135" s="3">
        <v>180</v>
      </c>
      <c r="N135" s="3">
        <v>15</v>
      </c>
      <c r="O135" s="3">
        <v>28</v>
      </c>
      <c r="P135" s="3">
        <v>0</v>
      </c>
      <c r="Q135" s="3">
        <v>0</v>
      </c>
      <c r="R135" s="3">
        <v>1</v>
      </c>
      <c r="S135" s="3">
        <v>4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214</v>
      </c>
      <c r="Z135" s="3">
        <v>32</v>
      </c>
      <c r="AA135" s="3">
        <v>2</v>
      </c>
      <c r="AB135" s="3">
        <v>0</v>
      </c>
      <c r="AC135" s="3">
        <f t="shared" si="9"/>
        <v>478</v>
      </c>
      <c r="AD135" s="3">
        <v>11</v>
      </c>
      <c r="AE135" s="16">
        <f t="shared" si="10"/>
        <v>2.2494887525562373E-2</v>
      </c>
    </row>
    <row r="136" spans="1:31" x14ac:dyDescent="0.5">
      <c r="A136" s="3">
        <v>51</v>
      </c>
      <c r="B136" s="3">
        <v>43</v>
      </c>
      <c r="C136" s="3">
        <v>1026</v>
      </c>
      <c r="D136" s="3">
        <v>8</v>
      </c>
      <c r="E136" s="3">
        <v>174</v>
      </c>
      <c r="F136" s="3">
        <v>348</v>
      </c>
      <c r="G136" s="3">
        <v>467</v>
      </c>
      <c r="H136" s="16">
        <f t="shared" si="8"/>
        <v>0.45516569200779727</v>
      </c>
      <c r="I136" s="3">
        <v>900</v>
      </c>
      <c r="J136" s="3">
        <v>0</v>
      </c>
      <c r="K136" s="3">
        <v>0</v>
      </c>
      <c r="L136" s="3">
        <v>1</v>
      </c>
      <c r="M136" s="3">
        <v>175</v>
      </c>
      <c r="N136" s="3">
        <v>6</v>
      </c>
      <c r="O136" s="3">
        <v>35</v>
      </c>
      <c r="P136" s="3">
        <v>0</v>
      </c>
      <c r="Q136" s="3">
        <v>1</v>
      </c>
      <c r="R136" s="3">
        <v>0</v>
      </c>
      <c r="S136" s="3">
        <v>0</v>
      </c>
      <c r="T136" s="3">
        <v>1</v>
      </c>
      <c r="U136" s="3">
        <v>0</v>
      </c>
      <c r="V136" s="3">
        <v>0</v>
      </c>
      <c r="W136" s="3">
        <v>0</v>
      </c>
      <c r="X136" s="3">
        <v>1</v>
      </c>
      <c r="Y136" s="3">
        <v>217</v>
      </c>
      <c r="Z136" s="3">
        <v>17</v>
      </c>
      <c r="AA136" s="3">
        <v>0</v>
      </c>
      <c r="AB136" s="3">
        <v>0</v>
      </c>
      <c r="AC136" s="3">
        <f t="shared" si="9"/>
        <v>454</v>
      </c>
      <c r="AD136" s="3">
        <v>13</v>
      </c>
      <c r="AE136" s="16">
        <f t="shared" si="10"/>
        <v>2.7837259100642397E-2</v>
      </c>
    </row>
    <row r="137" spans="1:31" x14ac:dyDescent="0.5">
      <c r="A137" s="3">
        <v>51</v>
      </c>
      <c r="B137" s="3">
        <v>44</v>
      </c>
      <c r="C137" s="3">
        <v>1105</v>
      </c>
      <c r="D137" s="3">
        <v>4</v>
      </c>
      <c r="E137" s="3">
        <v>168</v>
      </c>
      <c r="F137" s="3">
        <v>448</v>
      </c>
      <c r="G137" s="3">
        <v>544</v>
      </c>
      <c r="H137" s="16">
        <f t="shared" si="8"/>
        <v>0.49230769230769234</v>
      </c>
      <c r="I137" s="3">
        <v>1000</v>
      </c>
      <c r="J137" s="3">
        <v>0</v>
      </c>
      <c r="K137" s="3">
        <v>0</v>
      </c>
      <c r="L137" s="3">
        <v>2</v>
      </c>
      <c r="M137" s="3">
        <v>155</v>
      </c>
      <c r="N137" s="3">
        <v>14</v>
      </c>
      <c r="O137" s="3">
        <v>57</v>
      </c>
      <c r="P137" s="3">
        <v>0</v>
      </c>
      <c r="Q137" s="3">
        <v>0</v>
      </c>
      <c r="R137" s="3">
        <v>0</v>
      </c>
      <c r="S137" s="3">
        <v>0</v>
      </c>
      <c r="T137" s="3">
        <v>1</v>
      </c>
      <c r="U137" s="3">
        <v>0</v>
      </c>
      <c r="V137" s="3">
        <v>0</v>
      </c>
      <c r="W137" s="3">
        <v>0</v>
      </c>
      <c r="X137" s="3">
        <v>1</v>
      </c>
      <c r="Y137" s="3">
        <v>285</v>
      </c>
      <c r="Z137" s="3">
        <v>22</v>
      </c>
      <c r="AA137" s="3">
        <v>1</v>
      </c>
      <c r="AB137" s="3">
        <v>0</v>
      </c>
      <c r="AC137" s="3">
        <f t="shared" si="9"/>
        <v>538</v>
      </c>
      <c r="AD137" s="3">
        <v>6</v>
      </c>
      <c r="AE137" s="16">
        <f t="shared" si="10"/>
        <v>1.1029411764705883E-2</v>
      </c>
    </row>
    <row r="138" spans="1:31" x14ac:dyDescent="0.5">
      <c r="A138" s="3">
        <v>51</v>
      </c>
      <c r="B138" s="3">
        <v>45</v>
      </c>
      <c r="C138" s="3">
        <v>1275</v>
      </c>
      <c r="D138" s="3">
        <v>9</v>
      </c>
      <c r="E138" s="3">
        <v>190</v>
      </c>
      <c r="F138" s="3">
        <v>415</v>
      </c>
      <c r="G138" s="3">
        <v>514</v>
      </c>
      <c r="H138" s="16">
        <f t="shared" si="8"/>
        <v>0.40313725490196078</v>
      </c>
      <c r="I138" s="3">
        <v>1100</v>
      </c>
      <c r="J138" s="3">
        <v>1</v>
      </c>
      <c r="K138" s="3">
        <v>0</v>
      </c>
      <c r="L138" s="3">
        <v>0</v>
      </c>
      <c r="M138" s="3">
        <v>149</v>
      </c>
      <c r="N138" s="3">
        <v>6</v>
      </c>
      <c r="O138" s="3">
        <v>14</v>
      </c>
      <c r="P138" s="3">
        <v>0</v>
      </c>
      <c r="Q138" s="3">
        <v>1</v>
      </c>
      <c r="R138" s="3">
        <v>0</v>
      </c>
      <c r="S138" s="3">
        <v>1</v>
      </c>
      <c r="T138" s="3">
        <v>0</v>
      </c>
      <c r="U138" s="3">
        <v>1</v>
      </c>
      <c r="V138" s="3">
        <v>1</v>
      </c>
      <c r="W138" s="3">
        <v>1</v>
      </c>
      <c r="X138" s="3">
        <v>1</v>
      </c>
      <c r="Y138" s="3">
        <v>287</v>
      </c>
      <c r="Z138" s="3">
        <v>36</v>
      </c>
      <c r="AA138" s="3">
        <v>3</v>
      </c>
      <c r="AB138" s="3">
        <v>0</v>
      </c>
      <c r="AC138" s="3">
        <f t="shared" si="9"/>
        <v>502</v>
      </c>
      <c r="AD138" s="3">
        <v>12</v>
      </c>
      <c r="AE138" s="16">
        <f t="shared" si="10"/>
        <v>2.3346303501945526E-2</v>
      </c>
    </row>
    <row r="139" spans="1:31" x14ac:dyDescent="0.5">
      <c r="A139" s="3">
        <v>51</v>
      </c>
      <c r="B139" s="3">
        <v>46</v>
      </c>
      <c r="C139" s="3">
        <v>976</v>
      </c>
      <c r="D139" s="3">
        <v>8</v>
      </c>
      <c r="E139" s="3">
        <v>170</v>
      </c>
      <c r="F139" s="3">
        <v>335</v>
      </c>
      <c r="G139" s="3">
        <v>427</v>
      </c>
      <c r="H139" s="16">
        <f t="shared" si="8"/>
        <v>0.4375</v>
      </c>
      <c r="I139" s="3">
        <v>900</v>
      </c>
      <c r="J139" s="3">
        <v>0</v>
      </c>
      <c r="K139" s="3">
        <v>0</v>
      </c>
      <c r="L139" s="3">
        <v>0</v>
      </c>
      <c r="M139" s="3">
        <v>175</v>
      </c>
      <c r="N139" s="3">
        <v>15</v>
      </c>
      <c r="O139" s="3">
        <v>34</v>
      </c>
      <c r="P139" s="3">
        <v>0</v>
      </c>
      <c r="Q139" s="3">
        <v>0</v>
      </c>
      <c r="R139" s="3">
        <v>0</v>
      </c>
      <c r="S139" s="3">
        <v>4</v>
      </c>
      <c r="T139" s="3">
        <v>0</v>
      </c>
      <c r="U139" s="3">
        <v>0</v>
      </c>
      <c r="V139" s="3">
        <v>1</v>
      </c>
      <c r="W139" s="3">
        <v>0</v>
      </c>
      <c r="X139" s="3">
        <v>0</v>
      </c>
      <c r="Y139" s="3">
        <v>178</v>
      </c>
      <c r="Z139" s="3">
        <v>14</v>
      </c>
      <c r="AA139" s="3">
        <v>0</v>
      </c>
      <c r="AB139" s="3">
        <v>0</v>
      </c>
      <c r="AC139" s="3">
        <f t="shared" si="9"/>
        <v>421</v>
      </c>
      <c r="AD139" s="3">
        <v>6</v>
      </c>
      <c r="AE139" s="16">
        <f t="shared" si="10"/>
        <v>1.405152224824356E-2</v>
      </c>
    </row>
    <row r="140" spans="1:31" x14ac:dyDescent="0.5">
      <c r="A140" s="3">
        <v>51</v>
      </c>
      <c r="B140" s="3">
        <v>47</v>
      </c>
      <c r="C140" s="3">
        <v>1282</v>
      </c>
      <c r="D140" s="3">
        <v>7</v>
      </c>
      <c r="E140" s="3">
        <v>202</v>
      </c>
      <c r="F140" s="3">
        <v>471</v>
      </c>
      <c r="G140" s="3">
        <v>576</v>
      </c>
      <c r="H140" s="16">
        <f t="shared" si="8"/>
        <v>0.44929797191887677</v>
      </c>
      <c r="I140" s="3">
        <v>1150</v>
      </c>
      <c r="J140" s="3">
        <v>0</v>
      </c>
      <c r="K140" s="3">
        <v>0</v>
      </c>
      <c r="L140" s="3">
        <v>0</v>
      </c>
      <c r="M140" s="3">
        <v>299</v>
      </c>
      <c r="N140" s="3">
        <v>8</v>
      </c>
      <c r="O140" s="3">
        <v>26</v>
      </c>
      <c r="P140" s="3">
        <v>0</v>
      </c>
      <c r="Q140" s="3">
        <v>0</v>
      </c>
      <c r="R140" s="3">
        <v>0</v>
      </c>
      <c r="S140" s="3">
        <v>2</v>
      </c>
      <c r="T140" s="3">
        <v>1</v>
      </c>
      <c r="U140" s="3">
        <v>0</v>
      </c>
      <c r="V140" s="3">
        <v>2</v>
      </c>
      <c r="W140" s="3">
        <v>0</v>
      </c>
      <c r="X140" s="3">
        <v>0</v>
      </c>
      <c r="Y140" s="3">
        <v>204</v>
      </c>
      <c r="Z140" s="3">
        <v>29</v>
      </c>
      <c r="AA140" s="3">
        <v>1</v>
      </c>
      <c r="AB140" s="3">
        <v>0</v>
      </c>
      <c r="AC140" s="3">
        <f t="shared" si="9"/>
        <v>572</v>
      </c>
      <c r="AD140" s="3">
        <v>4</v>
      </c>
      <c r="AE140" s="16">
        <f t="shared" si="10"/>
        <v>6.9444444444444441E-3</v>
      </c>
    </row>
    <row r="141" spans="1:31" x14ac:dyDescent="0.5">
      <c r="A141" s="3">
        <v>51</v>
      </c>
      <c r="B141" s="3">
        <v>48</v>
      </c>
      <c r="C141" s="3">
        <v>1219</v>
      </c>
      <c r="D141" s="3">
        <v>7</v>
      </c>
      <c r="E141" s="3">
        <v>250</v>
      </c>
      <c r="F141" s="3">
        <v>410</v>
      </c>
      <c r="G141" s="3">
        <v>516</v>
      </c>
      <c r="H141" s="16">
        <f t="shared" si="8"/>
        <v>0.42329778506972926</v>
      </c>
      <c r="I141" s="3">
        <v>1100</v>
      </c>
      <c r="J141" s="3">
        <v>1</v>
      </c>
      <c r="K141" s="3">
        <v>0</v>
      </c>
      <c r="L141" s="3">
        <v>2</v>
      </c>
      <c r="M141" s="3">
        <v>210</v>
      </c>
      <c r="N141" s="3">
        <v>9</v>
      </c>
      <c r="O141" s="3">
        <v>50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1</v>
      </c>
      <c r="W141" s="3">
        <v>0</v>
      </c>
      <c r="X141" s="3">
        <v>1</v>
      </c>
      <c r="Y141" s="3">
        <v>215</v>
      </c>
      <c r="Z141" s="3">
        <v>17</v>
      </c>
      <c r="AA141" s="3">
        <v>3</v>
      </c>
      <c r="AB141" s="3">
        <v>0</v>
      </c>
      <c r="AC141" s="3">
        <f t="shared" si="9"/>
        <v>509</v>
      </c>
      <c r="AD141" s="3">
        <v>6</v>
      </c>
      <c r="AE141" s="16">
        <f t="shared" si="10"/>
        <v>1.1650485436893204E-2</v>
      </c>
    </row>
    <row r="142" spans="1:31" x14ac:dyDescent="0.5">
      <c r="A142" s="3">
        <v>51</v>
      </c>
      <c r="B142" s="3">
        <v>49</v>
      </c>
      <c r="C142" s="3">
        <v>865</v>
      </c>
      <c r="D142" s="3">
        <v>5</v>
      </c>
      <c r="E142" s="3">
        <v>171</v>
      </c>
      <c r="F142" s="3">
        <v>455</v>
      </c>
      <c r="G142" s="3">
        <v>547</v>
      </c>
      <c r="H142" s="16">
        <f t="shared" si="8"/>
        <v>0.63236994219653175</v>
      </c>
      <c r="I142" s="3">
        <v>800</v>
      </c>
      <c r="J142" s="3">
        <v>1</v>
      </c>
      <c r="K142" s="3">
        <v>0</v>
      </c>
      <c r="L142" s="3">
        <v>3</v>
      </c>
      <c r="M142" s="3">
        <v>192</v>
      </c>
      <c r="N142" s="3">
        <v>4</v>
      </c>
      <c r="O142" s="3">
        <v>22</v>
      </c>
      <c r="P142" s="3">
        <v>0</v>
      </c>
      <c r="Q142" s="3">
        <v>0</v>
      </c>
      <c r="R142" s="3">
        <v>1</v>
      </c>
      <c r="S142" s="3">
        <v>2</v>
      </c>
      <c r="T142" s="3">
        <v>0</v>
      </c>
      <c r="U142" s="3">
        <v>1</v>
      </c>
      <c r="V142" s="3">
        <v>0</v>
      </c>
      <c r="W142" s="3">
        <v>0</v>
      </c>
      <c r="X142" s="3">
        <v>0</v>
      </c>
      <c r="Y142" s="3">
        <v>298</v>
      </c>
      <c r="Z142" s="3">
        <v>11</v>
      </c>
      <c r="AA142" s="3">
        <v>2</v>
      </c>
      <c r="AB142" s="3">
        <v>0</v>
      </c>
      <c r="AC142" s="3">
        <f t="shared" si="9"/>
        <v>537</v>
      </c>
      <c r="AD142" s="3">
        <v>10</v>
      </c>
      <c r="AE142" s="16">
        <f t="shared" si="10"/>
        <v>1.8281535648994516E-2</v>
      </c>
    </row>
    <row r="143" spans="1:31" x14ac:dyDescent="0.5">
      <c r="A143" s="3">
        <v>51</v>
      </c>
      <c r="B143" s="3">
        <v>50</v>
      </c>
      <c r="C143" s="3">
        <v>732</v>
      </c>
      <c r="D143" s="3">
        <v>5</v>
      </c>
      <c r="E143" s="3">
        <v>108</v>
      </c>
      <c r="F143" s="3">
        <v>276</v>
      </c>
      <c r="G143" s="3">
        <v>358</v>
      </c>
      <c r="H143" s="16">
        <f t="shared" si="8"/>
        <v>0.48907103825136611</v>
      </c>
      <c r="I143" s="3">
        <v>650</v>
      </c>
      <c r="J143" s="3">
        <v>0</v>
      </c>
      <c r="K143" s="3">
        <v>0</v>
      </c>
      <c r="L143" s="3">
        <v>0</v>
      </c>
      <c r="M143" s="3">
        <v>106</v>
      </c>
      <c r="N143" s="3">
        <v>5</v>
      </c>
      <c r="O143" s="3">
        <v>18</v>
      </c>
      <c r="P143" s="3">
        <v>0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1</v>
      </c>
      <c r="Y143" s="3">
        <v>145</v>
      </c>
      <c r="Z143" s="3">
        <v>70</v>
      </c>
      <c r="AA143" s="3">
        <v>1</v>
      </c>
      <c r="AB143" s="3">
        <v>0</v>
      </c>
      <c r="AC143" s="3">
        <f t="shared" si="9"/>
        <v>347</v>
      </c>
      <c r="AD143" s="3">
        <v>11</v>
      </c>
      <c r="AE143" s="16">
        <f t="shared" si="10"/>
        <v>3.0726256983240222E-2</v>
      </c>
    </row>
    <row r="144" spans="1:31" x14ac:dyDescent="0.5">
      <c r="A144" s="3">
        <v>51</v>
      </c>
      <c r="B144" s="3">
        <v>51</v>
      </c>
      <c r="C144" s="3">
        <v>766</v>
      </c>
      <c r="D144" s="3">
        <v>4</v>
      </c>
      <c r="E144" s="3">
        <v>141</v>
      </c>
      <c r="F144" s="3">
        <v>326</v>
      </c>
      <c r="G144" s="3">
        <v>423</v>
      </c>
      <c r="H144" s="16">
        <f t="shared" si="8"/>
        <v>0.5522193211488251</v>
      </c>
      <c r="I144" s="3">
        <v>700</v>
      </c>
      <c r="J144" s="3">
        <v>0</v>
      </c>
      <c r="K144" s="3">
        <v>0</v>
      </c>
      <c r="L144" s="3">
        <v>1</v>
      </c>
      <c r="M144" s="3">
        <v>107</v>
      </c>
      <c r="N144" s="3">
        <v>13</v>
      </c>
      <c r="O144" s="3">
        <v>13</v>
      </c>
      <c r="P144" s="3">
        <v>0</v>
      </c>
      <c r="Q144" s="3">
        <v>0</v>
      </c>
      <c r="R144" s="3">
        <v>0</v>
      </c>
      <c r="S144" s="3">
        <v>1</v>
      </c>
      <c r="T144" s="3">
        <v>1</v>
      </c>
      <c r="U144" s="3">
        <v>0</v>
      </c>
      <c r="V144" s="3">
        <v>0</v>
      </c>
      <c r="W144" s="3">
        <v>0</v>
      </c>
      <c r="X144" s="3">
        <v>0</v>
      </c>
      <c r="Y144" s="3">
        <v>275</v>
      </c>
      <c r="Z144" s="3">
        <v>6</v>
      </c>
      <c r="AA144" s="3">
        <v>1</v>
      </c>
      <c r="AB144" s="3">
        <v>0</v>
      </c>
      <c r="AC144" s="3">
        <f t="shared" si="9"/>
        <v>418</v>
      </c>
      <c r="AD144" s="3">
        <v>5</v>
      </c>
      <c r="AE144" s="16">
        <f t="shared" si="10"/>
        <v>1.1820330969267139E-2</v>
      </c>
    </row>
    <row r="145" spans="1:31" x14ac:dyDescent="0.5">
      <c r="A145" s="3">
        <v>51</v>
      </c>
      <c r="B145" s="3">
        <v>52</v>
      </c>
      <c r="C145" s="3">
        <v>546</v>
      </c>
      <c r="D145" s="3">
        <v>3</v>
      </c>
      <c r="E145" s="3">
        <v>106</v>
      </c>
      <c r="F145" s="3">
        <v>265</v>
      </c>
      <c r="G145" s="3">
        <v>320</v>
      </c>
      <c r="H145" s="16">
        <f t="shared" si="8"/>
        <v>0.58608058608058611</v>
      </c>
      <c r="I145" s="3">
        <v>500</v>
      </c>
      <c r="J145" s="3">
        <v>0</v>
      </c>
      <c r="K145" s="3">
        <v>0</v>
      </c>
      <c r="L145" s="3">
        <v>0</v>
      </c>
      <c r="M145" s="3">
        <v>82</v>
      </c>
      <c r="N145" s="3">
        <v>9</v>
      </c>
      <c r="O145" s="3">
        <v>19</v>
      </c>
      <c r="P145" s="3">
        <v>0</v>
      </c>
      <c r="Q145" s="3">
        <v>3</v>
      </c>
      <c r="R145" s="3">
        <v>1</v>
      </c>
      <c r="S145" s="3">
        <v>2</v>
      </c>
      <c r="T145" s="3">
        <v>0</v>
      </c>
      <c r="U145" s="3">
        <v>0</v>
      </c>
      <c r="V145" s="3">
        <v>0</v>
      </c>
      <c r="W145" s="3">
        <v>0</v>
      </c>
      <c r="X145" s="3">
        <v>1</v>
      </c>
      <c r="Y145" s="3">
        <v>158</v>
      </c>
      <c r="Z145" s="3">
        <v>34</v>
      </c>
      <c r="AA145" s="3">
        <v>4</v>
      </c>
      <c r="AB145" s="3">
        <v>0</v>
      </c>
      <c r="AC145" s="3">
        <f t="shared" si="9"/>
        <v>313</v>
      </c>
      <c r="AD145" s="3">
        <v>7</v>
      </c>
      <c r="AE145" s="16">
        <f t="shared" si="10"/>
        <v>2.1874999999999999E-2</v>
      </c>
    </row>
    <row r="146" spans="1:31" x14ac:dyDescent="0.5">
      <c r="A146" s="3">
        <v>51</v>
      </c>
      <c r="B146" s="3">
        <v>53</v>
      </c>
      <c r="C146" s="3">
        <v>792</v>
      </c>
      <c r="D146" s="3">
        <v>6</v>
      </c>
      <c r="E146" s="3">
        <v>135</v>
      </c>
      <c r="F146" s="3">
        <v>290</v>
      </c>
      <c r="G146" s="3">
        <v>353</v>
      </c>
      <c r="H146" s="16">
        <f t="shared" si="8"/>
        <v>0.44570707070707072</v>
      </c>
      <c r="I146" s="3">
        <v>750</v>
      </c>
      <c r="J146" s="3">
        <v>0</v>
      </c>
      <c r="K146" s="3">
        <v>0</v>
      </c>
      <c r="L146" s="3">
        <v>2</v>
      </c>
      <c r="M146" s="3">
        <v>102</v>
      </c>
      <c r="N146" s="3">
        <v>5</v>
      </c>
      <c r="O146" s="3">
        <v>27</v>
      </c>
      <c r="P146" s="3">
        <v>0</v>
      </c>
      <c r="Q146" s="3">
        <v>0</v>
      </c>
      <c r="R146" s="3">
        <v>0</v>
      </c>
      <c r="S146" s="3">
        <v>1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210</v>
      </c>
      <c r="Z146" s="3">
        <v>3</v>
      </c>
      <c r="AA146" s="3">
        <v>0</v>
      </c>
      <c r="AB146" s="3">
        <v>0</v>
      </c>
      <c r="AC146" s="3">
        <f t="shared" si="9"/>
        <v>350</v>
      </c>
      <c r="AD146" s="3">
        <v>3</v>
      </c>
      <c r="AE146" s="16">
        <f t="shared" si="10"/>
        <v>8.4985835694051E-3</v>
      </c>
    </row>
    <row r="147" spans="1:31" s="5" customFormat="1" x14ac:dyDescent="0.5">
      <c r="A147" s="8">
        <v>51</v>
      </c>
      <c r="B147" s="8" t="s">
        <v>0</v>
      </c>
      <c r="C147" s="8">
        <f>SUM(C94:C146)</f>
        <v>54943</v>
      </c>
      <c r="D147" s="8">
        <f>SUM(D94:D146)</f>
        <v>247</v>
      </c>
      <c r="E147" s="8">
        <f t="shared" ref="E147:AD147" si="11">SUM(E94:E146)</f>
        <v>9064</v>
      </c>
      <c r="F147" s="8">
        <f t="shared" si="11"/>
        <v>20292</v>
      </c>
      <c r="G147" s="8">
        <f t="shared" si="11"/>
        <v>25909</v>
      </c>
      <c r="H147" s="20">
        <f t="shared" si="8"/>
        <v>0.4715614363977213</v>
      </c>
      <c r="I147" s="8">
        <f t="shared" si="11"/>
        <v>50200</v>
      </c>
      <c r="J147" s="8">
        <f t="shared" si="11"/>
        <v>32</v>
      </c>
      <c r="K147" s="8">
        <f t="shared" si="11"/>
        <v>0</v>
      </c>
      <c r="L147" s="8">
        <f t="shared" si="11"/>
        <v>51</v>
      </c>
      <c r="M147" s="8">
        <f t="shared" si="11"/>
        <v>8692</v>
      </c>
      <c r="N147" s="8">
        <f t="shared" si="11"/>
        <v>671</v>
      </c>
      <c r="O147" s="8">
        <f t="shared" si="11"/>
        <v>1475</v>
      </c>
      <c r="P147" s="8">
        <f t="shared" si="11"/>
        <v>0</v>
      </c>
      <c r="Q147" s="8">
        <f t="shared" si="11"/>
        <v>29</v>
      </c>
      <c r="R147" s="8">
        <f t="shared" si="11"/>
        <v>20</v>
      </c>
      <c r="S147" s="8">
        <f t="shared" si="11"/>
        <v>92</v>
      </c>
      <c r="T147" s="8">
        <f t="shared" si="11"/>
        <v>19</v>
      </c>
      <c r="U147" s="8">
        <f t="shared" si="11"/>
        <v>11</v>
      </c>
      <c r="V147" s="8">
        <f t="shared" si="11"/>
        <v>16</v>
      </c>
      <c r="W147" s="8">
        <f t="shared" si="11"/>
        <v>13</v>
      </c>
      <c r="X147" s="8">
        <f t="shared" si="11"/>
        <v>14</v>
      </c>
      <c r="Y147" s="8">
        <f t="shared" si="11"/>
        <v>12876</v>
      </c>
      <c r="Z147" s="8">
        <f t="shared" si="11"/>
        <v>1287</v>
      </c>
      <c r="AA147" s="8">
        <f t="shared" si="11"/>
        <v>74</v>
      </c>
      <c r="AB147" s="8">
        <f t="shared" si="11"/>
        <v>0</v>
      </c>
      <c r="AC147" s="8">
        <f t="shared" si="11"/>
        <v>25372</v>
      </c>
      <c r="AD147" s="8">
        <f t="shared" si="11"/>
        <v>531</v>
      </c>
      <c r="AE147" s="23">
        <f t="shared" si="10"/>
        <v>2.0499556035980387E-2</v>
      </c>
    </row>
    <row r="148" spans="1:31" s="5" customFormat="1" x14ac:dyDescent="0.5">
      <c r="A148" s="8"/>
      <c r="B148" s="8"/>
      <c r="C148" s="8"/>
      <c r="D148" s="8"/>
      <c r="E148" s="8"/>
      <c r="F148" s="8"/>
      <c r="G148" s="8"/>
      <c r="H148" s="8"/>
      <c r="I148" s="8"/>
      <c r="J148" s="20">
        <f>J147/$AC$147</f>
        <v>1.2612328551158758E-3</v>
      </c>
      <c r="K148" s="20">
        <f t="shared" ref="K148:AB148" si="12">K147/$AC$147</f>
        <v>0</v>
      </c>
      <c r="L148" s="20">
        <f t="shared" si="12"/>
        <v>2.0100898628409268E-3</v>
      </c>
      <c r="M148" s="20">
        <f t="shared" si="12"/>
        <v>0.34258237427084975</v>
      </c>
      <c r="N148" s="20">
        <f t="shared" si="12"/>
        <v>2.6446476430711019E-2</v>
      </c>
      <c r="O148" s="20">
        <f t="shared" si="12"/>
        <v>5.8134951915497397E-2</v>
      </c>
      <c r="P148" s="20">
        <f t="shared" si="12"/>
        <v>0</v>
      </c>
      <c r="Q148" s="20">
        <f t="shared" si="12"/>
        <v>1.1429922749487623E-3</v>
      </c>
      <c r="R148" s="20">
        <f t="shared" si="12"/>
        <v>7.8827053444742239E-4</v>
      </c>
      <c r="S148" s="20">
        <f t="shared" si="12"/>
        <v>3.6260444584581427E-3</v>
      </c>
      <c r="T148" s="20">
        <f t="shared" si="12"/>
        <v>7.4885700772505119E-4</v>
      </c>
      <c r="U148" s="20">
        <f t="shared" si="12"/>
        <v>4.3354879394608229E-4</v>
      </c>
      <c r="V148" s="20">
        <f t="shared" si="12"/>
        <v>6.3061642755793791E-4</v>
      </c>
      <c r="W148" s="20">
        <f t="shared" si="12"/>
        <v>5.1237584739082453E-4</v>
      </c>
      <c r="X148" s="20">
        <f t="shared" si="12"/>
        <v>5.5178937411319562E-4</v>
      </c>
      <c r="Y148" s="20">
        <f t="shared" si="12"/>
        <v>0.50748857007725057</v>
      </c>
      <c r="Z148" s="20">
        <f t="shared" si="12"/>
        <v>5.0725208891691631E-2</v>
      </c>
      <c r="AA148" s="20">
        <f t="shared" si="12"/>
        <v>2.9166009774554626E-3</v>
      </c>
      <c r="AB148" s="20">
        <f t="shared" si="12"/>
        <v>0</v>
      </c>
      <c r="AC148" s="20"/>
      <c r="AD148" s="8"/>
      <c r="AE148" s="22"/>
    </row>
    <row r="149" spans="1:31" x14ac:dyDescent="0.5">
      <c r="A149" s="3">
        <v>56</v>
      </c>
      <c r="B149" s="3">
        <v>1</v>
      </c>
      <c r="C149" s="3">
        <v>1158</v>
      </c>
      <c r="D149" s="3">
        <v>10</v>
      </c>
      <c r="E149" s="3">
        <v>157</v>
      </c>
      <c r="F149" s="3">
        <v>404</v>
      </c>
      <c r="G149" s="3">
        <v>477</v>
      </c>
      <c r="H149" s="16">
        <f t="shared" si="8"/>
        <v>0.41191709844559588</v>
      </c>
      <c r="I149" s="3">
        <v>1100</v>
      </c>
      <c r="J149" s="3">
        <v>0</v>
      </c>
      <c r="K149" s="3">
        <v>0</v>
      </c>
      <c r="L149" s="3">
        <v>1</v>
      </c>
      <c r="M149" s="3">
        <v>0</v>
      </c>
      <c r="N149" s="3">
        <v>0</v>
      </c>
      <c r="O149" s="3">
        <v>1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1</v>
      </c>
      <c r="W149" s="3">
        <v>1</v>
      </c>
      <c r="X149" s="3">
        <v>0</v>
      </c>
      <c r="Y149" s="3">
        <v>272</v>
      </c>
      <c r="Z149" s="3">
        <v>111</v>
      </c>
      <c r="AA149" s="3">
        <v>78</v>
      </c>
      <c r="AB149" s="3">
        <v>0</v>
      </c>
      <c r="AC149" s="3">
        <f t="shared" si="9"/>
        <v>465</v>
      </c>
      <c r="AD149" s="3">
        <v>12</v>
      </c>
      <c r="AE149" s="16">
        <f t="shared" si="10"/>
        <v>2.5157232704402517E-2</v>
      </c>
    </row>
    <row r="150" spans="1:31" x14ac:dyDescent="0.5">
      <c r="A150" s="3">
        <v>56</v>
      </c>
      <c r="B150" s="3">
        <v>2</v>
      </c>
      <c r="C150" s="3">
        <v>989</v>
      </c>
      <c r="D150" s="3">
        <v>7</v>
      </c>
      <c r="E150" s="3">
        <v>166</v>
      </c>
      <c r="F150" s="3">
        <v>322</v>
      </c>
      <c r="G150" s="3">
        <v>381</v>
      </c>
      <c r="H150" s="16">
        <f t="shared" si="8"/>
        <v>0.38523761375126392</v>
      </c>
      <c r="I150" s="3">
        <v>900</v>
      </c>
      <c r="J150" s="3">
        <v>0</v>
      </c>
      <c r="K150" s="3">
        <v>0</v>
      </c>
      <c r="L150" s="3">
        <v>2</v>
      </c>
      <c r="M150" s="3">
        <v>0</v>
      </c>
      <c r="N150" s="3">
        <v>0</v>
      </c>
      <c r="O150" s="3">
        <v>1</v>
      </c>
      <c r="P150" s="3">
        <v>0</v>
      </c>
      <c r="Q150" s="3">
        <v>0</v>
      </c>
      <c r="R150" s="3">
        <v>1</v>
      </c>
      <c r="S150" s="3">
        <v>0</v>
      </c>
      <c r="T150" s="3">
        <v>0</v>
      </c>
      <c r="U150" s="3">
        <v>0</v>
      </c>
      <c r="V150" s="3">
        <v>1</v>
      </c>
      <c r="W150" s="3">
        <v>0</v>
      </c>
      <c r="X150" s="3">
        <v>0</v>
      </c>
      <c r="Y150" s="3">
        <v>239</v>
      </c>
      <c r="Z150" s="3">
        <v>74</v>
      </c>
      <c r="AA150" s="3">
        <v>46</v>
      </c>
      <c r="AB150" s="3">
        <v>0</v>
      </c>
      <c r="AC150" s="3">
        <f t="shared" si="9"/>
        <v>364</v>
      </c>
      <c r="AD150" s="3">
        <v>17</v>
      </c>
      <c r="AE150" s="16">
        <f t="shared" si="10"/>
        <v>4.4619422572178477E-2</v>
      </c>
    </row>
    <row r="151" spans="1:31" x14ac:dyDescent="0.5">
      <c r="A151" s="3">
        <v>56</v>
      </c>
      <c r="B151" s="3">
        <v>3</v>
      </c>
      <c r="C151" s="3">
        <v>966</v>
      </c>
      <c r="D151" s="3">
        <v>5</v>
      </c>
      <c r="E151" s="3">
        <v>149</v>
      </c>
      <c r="F151" s="3">
        <v>304</v>
      </c>
      <c r="G151" s="3">
        <v>395</v>
      </c>
      <c r="H151" s="16">
        <f t="shared" si="8"/>
        <v>0.40890269151138714</v>
      </c>
      <c r="I151" s="3">
        <v>900</v>
      </c>
      <c r="J151" s="3">
        <v>1</v>
      </c>
      <c r="K151" s="3">
        <v>0</v>
      </c>
      <c r="L151" s="3">
        <v>1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</v>
      </c>
      <c r="V151" s="3">
        <v>0</v>
      </c>
      <c r="W151" s="3">
        <v>0</v>
      </c>
      <c r="X151" s="3">
        <v>0</v>
      </c>
      <c r="Y151" s="3">
        <v>215</v>
      </c>
      <c r="Z151" s="3">
        <v>42</v>
      </c>
      <c r="AA151" s="3">
        <v>124</v>
      </c>
      <c r="AB151" s="3">
        <v>0</v>
      </c>
      <c r="AC151" s="3">
        <f t="shared" si="9"/>
        <v>384</v>
      </c>
      <c r="AD151" s="3">
        <v>11</v>
      </c>
      <c r="AE151" s="16">
        <f t="shared" si="10"/>
        <v>2.7848101265822784E-2</v>
      </c>
    </row>
    <row r="152" spans="1:31" x14ac:dyDescent="0.5">
      <c r="A152" s="3">
        <v>56</v>
      </c>
      <c r="B152" s="3">
        <v>4</v>
      </c>
      <c r="C152" s="3">
        <v>931</v>
      </c>
      <c r="D152" s="3">
        <v>7</v>
      </c>
      <c r="E152" s="3">
        <v>149</v>
      </c>
      <c r="F152" s="3">
        <v>313</v>
      </c>
      <c r="G152" s="3">
        <v>380</v>
      </c>
      <c r="H152" s="16">
        <f t="shared" si="8"/>
        <v>0.40816326530612246</v>
      </c>
      <c r="I152" s="3">
        <v>850</v>
      </c>
      <c r="J152" s="3">
        <v>1</v>
      </c>
      <c r="K152" s="3">
        <v>0</v>
      </c>
      <c r="L152" s="3">
        <v>1</v>
      </c>
      <c r="M152" s="3">
        <v>0</v>
      </c>
      <c r="N152" s="3">
        <v>0</v>
      </c>
      <c r="O152" s="3">
        <v>1</v>
      </c>
      <c r="P152" s="3">
        <v>0</v>
      </c>
      <c r="Q152" s="3">
        <v>2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223</v>
      </c>
      <c r="Z152" s="3">
        <v>68</v>
      </c>
      <c r="AA152" s="3">
        <v>70</v>
      </c>
      <c r="AB152" s="3">
        <v>0</v>
      </c>
      <c r="AC152" s="3">
        <f t="shared" si="9"/>
        <v>366</v>
      </c>
      <c r="AD152" s="3">
        <v>14</v>
      </c>
      <c r="AE152" s="16">
        <f t="shared" si="10"/>
        <v>3.6842105263157891E-2</v>
      </c>
    </row>
    <row r="153" spans="1:31" x14ac:dyDescent="0.5">
      <c r="A153" s="3">
        <v>56</v>
      </c>
      <c r="B153" s="3">
        <v>5</v>
      </c>
      <c r="C153" s="3">
        <v>781</v>
      </c>
      <c r="D153" s="3">
        <v>2</v>
      </c>
      <c r="E153" s="3">
        <v>120</v>
      </c>
      <c r="F153" s="3">
        <v>250</v>
      </c>
      <c r="G153" s="3">
        <v>316</v>
      </c>
      <c r="H153" s="16">
        <f t="shared" si="8"/>
        <v>0.40460947503201022</v>
      </c>
      <c r="I153" s="3">
        <v>750</v>
      </c>
      <c r="J153" s="3">
        <v>1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2</v>
      </c>
      <c r="R153" s="3">
        <v>1</v>
      </c>
      <c r="S153" s="3">
        <v>0</v>
      </c>
      <c r="T153" s="3">
        <v>0</v>
      </c>
      <c r="U153" s="3">
        <v>1</v>
      </c>
      <c r="V153" s="3">
        <v>0</v>
      </c>
      <c r="W153" s="3">
        <v>1</v>
      </c>
      <c r="X153" s="3">
        <v>0</v>
      </c>
      <c r="Y153" s="3">
        <v>176</v>
      </c>
      <c r="Z153" s="3">
        <v>60</v>
      </c>
      <c r="AA153" s="3">
        <v>55</v>
      </c>
      <c r="AB153" s="3">
        <v>0</v>
      </c>
      <c r="AC153" s="3">
        <f t="shared" si="9"/>
        <v>297</v>
      </c>
      <c r="AD153" s="3">
        <v>19</v>
      </c>
      <c r="AE153" s="16">
        <f t="shared" si="10"/>
        <v>6.0126582278481014E-2</v>
      </c>
    </row>
    <row r="154" spans="1:31" x14ac:dyDescent="0.5">
      <c r="A154" s="3">
        <v>56</v>
      </c>
      <c r="B154" s="3">
        <v>6</v>
      </c>
      <c r="C154" s="3">
        <v>812</v>
      </c>
      <c r="D154" s="3">
        <v>5</v>
      </c>
      <c r="E154" s="3">
        <v>119</v>
      </c>
      <c r="F154" s="3">
        <v>250</v>
      </c>
      <c r="G154" s="3">
        <v>300</v>
      </c>
      <c r="H154" s="16">
        <f t="shared" si="8"/>
        <v>0.36945812807881773</v>
      </c>
      <c r="I154" s="3">
        <v>750</v>
      </c>
      <c r="J154" s="3">
        <v>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1</v>
      </c>
      <c r="R154" s="3">
        <v>1</v>
      </c>
      <c r="S154" s="3">
        <v>0</v>
      </c>
      <c r="T154" s="3">
        <v>1</v>
      </c>
      <c r="U154" s="3">
        <v>0</v>
      </c>
      <c r="V154" s="3">
        <v>1</v>
      </c>
      <c r="W154" s="3">
        <v>1</v>
      </c>
      <c r="X154" s="3">
        <v>0</v>
      </c>
      <c r="Y154" s="3">
        <v>204</v>
      </c>
      <c r="Z154" s="3">
        <v>43</v>
      </c>
      <c r="AA154" s="3">
        <v>41</v>
      </c>
      <c r="AB154" s="3">
        <v>0</v>
      </c>
      <c r="AC154" s="3">
        <f t="shared" si="9"/>
        <v>294</v>
      </c>
      <c r="AD154" s="3">
        <v>6</v>
      </c>
      <c r="AE154" s="16">
        <f t="shared" si="10"/>
        <v>0.02</v>
      </c>
    </row>
    <row r="155" spans="1:31" x14ac:dyDescent="0.5">
      <c r="A155" s="3">
        <v>56</v>
      </c>
      <c r="B155" s="3">
        <v>7</v>
      </c>
      <c r="C155" s="3">
        <v>1236</v>
      </c>
      <c r="D155" s="3">
        <v>6</v>
      </c>
      <c r="E155" s="3">
        <v>133</v>
      </c>
      <c r="F155" s="3">
        <v>353</v>
      </c>
      <c r="G155" s="3">
        <v>423</v>
      </c>
      <c r="H155" s="16">
        <f t="shared" si="8"/>
        <v>0.34223300970873788</v>
      </c>
      <c r="I155" s="3">
        <v>1150</v>
      </c>
      <c r="J155" s="3">
        <v>1</v>
      </c>
      <c r="K155" s="3">
        <v>0</v>
      </c>
      <c r="L155" s="3">
        <v>3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2</v>
      </c>
      <c r="U155" s="3">
        <v>0</v>
      </c>
      <c r="V155" s="3">
        <v>0</v>
      </c>
      <c r="W155" s="3">
        <v>0</v>
      </c>
      <c r="X155" s="3">
        <v>0</v>
      </c>
      <c r="Y155" s="3">
        <v>279</v>
      </c>
      <c r="Z155" s="3">
        <v>68</v>
      </c>
      <c r="AA155" s="3">
        <v>56</v>
      </c>
      <c r="AB155" s="3">
        <v>0</v>
      </c>
      <c r="AC155" s="3">
        <f t="shared" si="9"/>
        <v>409</v>
      </c>
      <c r="AD155" s="3">
        <v>14</v>
      </c>
      <c r="AE155" s="16">
        <f t="shared" si="10"/>
        <v>3.309692671394799E-2</v>
      </c>
    </row>
    <row r="156" spans="1:31" x14ac:dyDescent="0.5">
      <c r="A156" s="3">
        <v>56</v>
      </c>
      <c r="B156" s="3">
        <v>8</v>
      </c>
      <c r="C156" s="3">
        <v>883</v>
      </c>
      <c r="D156" s="3">
        <v>5</v>
      </c>
      <c r="E156" s="3">
        <v>129</v>
      </c>
      <c r="F156" s="3">
        <v>240</v>
      </c>
      <c r="G156" s="3">
        <v>281</v>
      </c>
      <c r="H156" s="16">
        <f t="shared" si="8"/>
        <v>0.31823329558323898</v>
      </c>
      <c r="I156" s="3">
        <v>800</v>
      </c>
      <c r="J156" s="3">
        <v>1</v>
      </c>
      <c r="K156" s="3">
        <v>0</v>
      </c>
      <c r="L156" s="3">
        <v>1</v>
      </c>
      <c r="M156" s="3">
        <v>0</v>
      </c>
      <c r="N156" s="3">
        <v>0</v>
      </c>
      <c r="O156" s="3">
        <v>0</v>
      </c>
      <c r="P156" s="3">
        <v>0</v>
      </c>
      <c r="Q156" s="3">
        <v>1</v>
      </c>
      <c r="R156" s="3">
        <v>1</v>
      </c>
      <c r="S156" s="3">
        <v>0</v>
      </c>
      <c r="T156" s="3">
        <v>0</v>
      </c>
      <c r="U156" s="3">
        <v>2</v>
      </c>
      <c r="V156" s="3">
        <v>1</v>
      </c>
      <c r="W156" s="3">
        <v>0</v>
      </c>
      <c r="X156" s="3">
        <v>0</v>
      </c>
      <c r="Y156" s="3">
        <v>191</v>
      </c>
      <c r="Z156" s="3">
        <v>53</v>
      </c>
      <c r="AA156" s="3">
        <v>27</v>
      </c>
      <c r="AB156" s="3">
        <v>0</v>
      </c>
      <c r="AC156" s="3">
        <f t="shared" si="9"/>
        <v>278</v>
      </c>
      <c r="AD156" s="3">
        <v>3</v>
      </c>
      <c r="AE156" s="16">
        <f t="shared" si="10"/>
        <v>1.0676156583629894E-2</v>
      </c>
    </row>
    <row r="157" spans="1:31" x14ac:dyDescent="0.5">
      <c r="A157" s="3">
        <v>56</v>
      </c>
      <c r="B157" s="3">
        <v>9</v>
      </c>
      <c r="C157" s="3">
        <v>1220</v>
      </c>
      <c r="D157" s="3">
        <v>5</v>
      </c>
      <c r="E157" s="3">
        <v>138</v>
      </c>
      <c r="F157" s="3">
        <v>264</v>
      </c>
      <c r="G157" s="3">
        <v>321</v>
      </c>
      <c r="H157" s="16">
        <f t="shared" si="8"/>
        <v>0.26311475409836066</v>
      </c>
      <c r="I157" s="3">
        <v>1100</v>
      </c>
      <c r="J157" s="3">
        <v>0</v>
      </c>
      <c r="K157" s="3">
        <v>0</v>
      </c>
      <c r="L157" s="3">
        <v>1</v>
      </c>
      <c r="M157" s="3">
        <v>0</v>
      </c>
      <c r="N157" s="3">
        <v>0</v>
      </c>
      <c r="O157" s="3">
        <v>2</v>
      </c>
      <c r="P157" s="3">
        <v>0</v>
      </c>
      <c r="Q157" s="3">
        <v>1</v>
      </c>
      <c r="R157" s="3">
        <v>3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2</v>
      </c>
      <c r="Y157" s="3">
        <v>183</v>
      </c>
      <c r="Z157" s="3">
        <v>71</v>
      </c>
      <c r="AA157" s="3">
        <v>47</v>
      </c>
      <c r="AB157" s="3">
        <v>0</v>
      </c>
      <c r="AC157" s="3">
        <f t="shared" si="9"/>
        <v>311</v>
      </c>
      <c r="AD157" s="3">
        <v>10</v>
      </c>
      <c r="AE157" s="16">
        <f t="shared" si="10"/>
        <v>3.1152647975077882E-2</v>
      </c>
    </row>
    <row r="158" spans="1:31" x14ac:dyDescent="0.5">
      <c r="A158" s="3">
        <v>56</v>
      </c>
      <c r="B158" s="3">
        <v>10</v>
      </c>
      <c r="C158" s="3">
        <v>882</v>
      </c>
      <c r="D158" s="3">
        <v>2</v>
      </c>
      <c r="E158" s="3">
        <v>158</v>
      </c>
      <c r="F158" s="3">
        <v>277</v>
      </c>
      <c r="G158" s="3">
        <v>319</v>
      </c>
      <c r="H158" s="16">
        <f t="shared" si="8"/>
        <v>0.36167800453514737</v>
      </c>
      <c r="I158" s="3">
        <v>800</v>
      </c>
      <c r="J158" s="3">
        <v>0</v>
      </c>
      <c r="K158" s="3">
        <v>0</v>
      </c>
      <c r="L158" s="3">
        <v>3</v>
      </c>
      <c r="M158" s="3">
        <v>0</v>
      </c>
      <c r="N158" s="3">
        <v>0</v>
      </c>
      <c r="O158" s="3">
        <v>1</v>
      </c>
      <c r="P158" s="3">
        <v>0</v>
      </c>
      <c r="Q158" s="3">
        <v>3</v>
      </c>
      <c r="R158" s="3">
        <v>1</v>
      </c>
      <c r="S158" s="3">
        <v>0</v>
      </c>
      <c r="T158" s="3">
        <v>0</v>
      </c>
      <c r="U158" s="3">
        <v>0</v>
      </c>
      <c r="V158" s="3">
        <v>1</v>
      </c>
      <c r="W158" s="3">
        <v>1</v>
      </c>
      <c r="X158" s="3">
        <v>0</v>
      </c>
      <c r="Y158" s="3">
        <v>190</v>
      </c>
      <c r="Z158" s="3">
        <v>48</v>
      </c>
      <c r="AA158" s="3">
        <v>44</v>
      </c>
      <c r="AB158" s="3">
        <v>0</v>
      </c>
      <c r="AC158" s="3">
        <f t="shared" si="9"/>
        <v>292</v>
      </c>
      <c r="AD158" s="3">
        <v>27</v>
      </c>
      <c r="AE158" s="16">
        <f t="shared" si="10"/>
        <v>8.4639498432601878E-2</v>
      </c>
    </row>
    <row r="159" spans="1:31" x14ac:dyDescent="0.5">
      <c r="A159" s="3">
        <v>56</v>
      </c>
      <c r="B159" s="3">
        <v>11</v>
      </c>
      <c r="C159" s="3">
        <v>235</v>
      </c>
      <c r="D159" s="3">
        <v>5</v>
      </c>
      <c r="E159" s="3">
        <v>32</v>
      </c>
      <c r="F159" s="3">
        <v>68</v>
      </c>
      <c r="G159" s="3">
        <v>77</v>
      </c>
      <c r="H159" s="16">
        <f t="shared" si="8"/>
        <v>0.32765957446808508</v>
      </c>
      <c r="I159" s="3">
        <v>250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42</v>
      </c>
      <c r="Z159" s="3">
        <v>18</v>
      </c>
      <c r="AA159" s="3">
        <v>13</v>
      </c>
      <c r="AB159" s="3">
        <v>0</v>
      </c>
      <c r="AC159" s="3">
        <f t="shared" si="9"/>
        <v>73</v>
      </c>
      <c r="AD159" s="3">
        <v>4</v>
      </c>
      <c r="AE159" s="16">
        <f t="shared" si="10"/>
        <v>5.1948051948051951E-2</v>
      </c>
    </row>
    <row r="160" spans="1:31" x14ac:dyDescent="0.5">
      <c r="A160" s="3">
        <v>56</v>
      </c>
      <c r="B160" s="3">
        <v>12</v>
      </c>
      <c r="C160" s="3">
        <v>226</v>
      </c>
      <c r="D160" s="3">
        <v>9</v>
      </c>
      <c r="E160" s="3">
        <v>60</v>
      </c>
      <c r="F160" s="3">
        <v>93</v>
      </c>
      <c r="G160" s="3">
        <v>105</v>
      </c>
      <c r="H160" s="16">
        <f t="shared" si="8"/>
        <v>0.46460176991150443</v>
      </c>
      <c r="I160" s="3">
        <v>250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1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50</v>
      </c>
      <c r="Z160" s="3">
        <v>19</v>
      </c>
      <c r="AA160" s="3">
        <v>29</v>
      </c>
      <c r="AB160" s="3">
        <v>0</v>
      </c>
      <c r="AC160" s="3">
        <f t="shared" si="9"/>
        <v>99</v>
      </c>
      <c r="AD160" s="3">
        <v>6</v>
      </c>
      <c r="AE160" s="16">
        <f t="shared" si="10"/>
        <v>5.7142857142857141E-2</v>
      </c>
    </row>
    <row r="161" spans="1:31" x14ac:dyDescent="0.5">
      <c r="A161" s="3">
        <v>56</v>
      </c>
      <c r="B161" s="3">
        <v>13</v>
      </c>
      <c r="C161" s="3">
        <v>185</v>
      </c>
      <c r="D161" s="3">
        <v>4</v>
      </c>
      <c r="E161" s="3">
        <v>41</v>
      </c>
      <c r="F161" s="3">
        <v>70</v>
      </c>
      <c r="G161" s="3">
        <v>75</v>
      </c>
      <c r="H161" s="16">
        <f t="shared" si="8"/>
        <v>0.40540540540540543</v>
      </c>
      <c r="I161" s="3">
        <v>200</v>
      </c>
      <c r="J161" s="3">
        <v>1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1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51</v>
      </c>
      <c r="Z161" s="3">
        <v>13</v>
      </c>
      <c r="AA161" s="3">
        <v>8</v>
      </c>
      <c r="AB161" s="3">
        <v>0</v>
      </c>
      <c r="AC161" s="3">
        <f t="shared" si="9"/>
        <v>74</v>
      </c>
      <c r="AD161" s="3">
        <v>1</v>
      </c>
      <c r="AE161" s="16">
        <f t="shared" si="10"/>
        <v>1.3333333333333334E-2</v>
      </c>
    </row>
    <row r="162" spans="1:31" x14ac:dyDescent="0.5">
      <c r="A162" s="3">
        <v>56</v>
      </c>
      <c r="B162" s="3">
        <v>14</v>
      </c>
      <c r="C162" s="3">
        <v>478</v>
      </c>
      <c r="D162" s="3">
        <v>3</v>
      </c>
      <c r="E162" s="3">
        <v>121</v>
      </c>
      <c r="F162" s="3">
        <v>190</v>
      </c>
      <c r="G162" s="3">
        <v>219</v>
      </c>
      <c r="H162" s="16">
        <f t="shared" si="8"/>
        <v>0.45815899581589958</v>
      </c>
      <c r="I162" s="3">
        <v>500</v>
      </c>
      <c r="J162" s="3">
        <v>1</v>
      </c>
      <c r="K162" s="3">
        <v>0</v>
      </c>
      <c r="L162" s="3">
        <v>1</v>
      </c>
      <c r="M162" s="3">
        <v>0</v>
      </c>
      <c r="N162" s="3">
        <v>0</v>
      </c>
      <c r="O162" s="3">
        <v>1</v>
      </c>
      <c r="P162" s="3">
        <v>0</v>
      </c>
      <c r="Q162" s="3">
        <v>3</v>
      </c>
      <c r="R162" s="3">
        <v>1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142</v>
      </c>
      <c r="Z162" s="3">
        <v>19</v>
      </c>
      <c r="AA162" s="3">
        <v>48</v>
      </c>
      <c r="AB162" s="3">
        <v>0</v>
      </c>
      <c r="AC162" s="3">
        <f t="shared" si="9"/>
        <v>216</v>
      </c>
      <c r="AD162" s="3">
        <v>3</v>
      </c>
      <c r="AE162" s="16">
        <f t="shared" si="10"/>
        <v>1.3698630136986301E-2</v>
      </c>
    </row>
    <row r="163" spans="1:31" x14ac:dyDescent="0.5">
      <c r="A163" s="3">
        <v>56</v>
      </c>
      <c r="B163" s="3">
        <v>15</v>
      </c>
      <c r="C163" s="3">
        <v>1213</v>
      </c>
      <c r="D163" s="3">
        <v>1</v>
      </c>
      <c r="E163" s="3">
        <v>207</v>
      </c>
      <c r="F163" s="3">
        <v>517</v>
      </c>
      <c r="G163" s="3">
        <v>566</v>
      </c>
      <c r="H163" s="16">
        <f t="shared" si="8"/>
        <v>0.46661170651277822</v>
      </c>
      <c r="I163" s="3">
        <v>1150</v>
      </c>
      <c r="J163" s="3">
        <v>1</v>
      </c>
      <c r="K163" s="3">
        <v>0</v>
      </c>
      <c r="L163" s="3">
        <v>4</v>
      </c>
      <c r="M163" s="3">
        <v>0</v>
      </c>
      <c r="N163" s="3">
        <v>0</v>
      </c>
      <c r="O163" s="3">
        <v>1</v>
      </c>
      <c r="P163" s="3">
        <v>0</v>
      </c>
      <c r="Q163" s="3">
        <v>0</v>
      </c>
      <c r="R163" s="3">
        <v>1</v>
      </c>
      <c r="S163" s="3">
        <v>0</v>
      </c>
      <c r="T163" s="3">
        <v>1</v>
      </c>
      <c r="U163" s="3">
        <v>1</v>
      </c>
      <c r="V163" s="3">
        <v>0</v>
      </c>
      <c r="W163" s="3">
        <v>2</v>
      </c>
      <c r="X163" s="3">
        <v>2</v>
      </c>
      <c r="Y163" s="3">
        <v>395</v>
      </c>
      <c r="Z163" s="3">
        <v>67</v>
      </c>
      <c r="AA163" s="3">
        <v>79</v>
      </c>
      <c r="AB163" s="3">
        <v>0</v>
      </c>
      <c r="AC163" s="3">
        <f t="shared" si="9"/>
        <v>554</v>
      </c>
      <c r="AD163" s="3">
        <v>11</v>
      </c>
      <c r="AE163" s="16">
        <f t="shared" si="10"/>
        <v>1.9469026548672566E-2</v>
      </c>
    </row>
    <row r="164" spans="1:31" x14ac:dyDescent="0.5">
      <c r="A164" s="3">
        <v>56</v>
      </c>
      <c r="B164" s="3">
        <v>16</v>
      </c>
      <c r="C164" s="3">
        <v>934</v>
      </c>
      <c r="D164" s="3">
        <v>4</v>
      </c>
      <c r="E164" s="3">
        <v>141</v>
      </c>
      <c r="F164" s="3">
        <v>275</v>
      </c>
      <c r="G164" s="3">
        <v>315</v>
      </c>
      <c r="H164" s="16">
        <f t="shared" si="8"/>
        <v>0.33725910064239828</v>
      </c>
      <c r="I164" s="3">
        <v>850</v>
      </c>
      <c r="J164" s="3">
        <v>1</v>
      </c>
      <c r="K164" s="3">
        <v>0</v>
      </c>
      <c r="L164" s="3">
        <v>2</v>
      </c>
      <c r="M164" s="3">
        <v>0</v>
      </c>
      <c r="N164" s="3">
        <v>0</v>
      </c>
      <c r="O164" s="3">
        <v>0</v>
      </c>
      <c r="P164" s="3">
        <v>0</v>
      </c>
      <c r="Q164" s="3">
        <v>2</v>
      </c>
      <c r="R164" s="3">
        <v>0</v>
      </c>
      <c r="S164" s="3">
        <v>0</v>
      </c>
      <c r="T164" s="3">
        <v>0</v>
      </c>
      <c r="U164" s="3">
        <v>1</v>
      </c>
      <c r="V164" s="3">
        <v>0</v>
      </c>
      <c r="W164" s="3">
        <v>1</v>
      </c>
      <c r="X164" s="3">
        <v>1</v>
      </c>
      <c r="Y164" s="3">
        <v>165</v>
      </c>
      <c r="Z164" s="3">
        <v>83</v>
      </c>
      <c r="AA164" s="3">
        <v>45</v>
      </c>
      <c r="AB164" s="3">
        <v>0</v>
      </c>
      <c r="AC164" s="3">
        <f t="shared" si="9"/>
        <v>301</v>
      </c>
      <c r="AD164" s="3">
        <v>13</v>
      </c>
      <c r="AE164" s="16">
        <f t="shared" si="10"/>
        <v>4.1401273885350316E-2</v>
      </c>
    </row>
    <row r="165" spans="1:31" x14ac:dyDescent="0.5">
      <c r="A165" s="3">
        <v>56</v>
      </c>
      <c r="B165" s="3">
        <v>17</v>
      </c>
      <c r="C165" s="3">
        <v>424</v>
      </c>
      <c r="D165" s="3">
        <v>1</v>
      </c>
      <c r="E165" s="3">
        <v>80</v>
      </c>
      <c r="F165" s="3">
        <v>167</v>
      </c>
      <c r="G165" s="3">
        <v>185</v>
      </c>
      <c r="H165" s="16">
        <f t="shared" si="8"/>
        <v>0.43632075471698112</v>
      </c>
      <c r="I165" s="3">
        <v>450</v>
      </c>
      <c r="J165" s="3">
        <v>1</v>
      </c>
      <c r="K165" s="3">
        <v>0</v>
      </c>
      <c r="L165" s="3">
        <v>3</v>
      </c>
      <c r="M165" s="3">
        <v>0</v>
      </c>
      <c r="N165" s="3">
        <v>0</v>
      </c>
      <c r="O165" s="3">
        <v>1</v>
      </c>
      <c r="P165" s="3">
        <v>0</v>
      </c>
      <c r="Q165" s="3">
        <v>0</v>
      </c>
      <c r="R165" s="3">
        <v>1</v>
      </c>
      <c r="S165" s="3">
        <v>0</v>
      </c>
      <c r="T165" s="3">
        <v>0</v>
      </c>
      <c r="U165" s="3">
        <v>1</v>
      </c>
      <c r="V165" s="3">
        <v>0</v>
      </c>
      <c r="W165" s="3">
        <v>0</v>
      </c>
      <c r="X165" s="3">
        <v>0</v>
      </c>
      <c r="Y165" s="3">
        <v>130</v>
      </c>
      <c r="Z165" s="3">
        <v>36</v>
      </c>
      <c r="AA165" s="3">
        <v>8</v>
      </c>
      <c r="AB165" s="3">
        <v>0</v>
      </c>
      <c r="AC165" s="3">
        <f t="shared" si="9"/>
        <v>181</v>
      </c>
      <c r="AD165" s="3">
        <v>4</v>
      </c>
      <c r="AE165" s="16">
        <f t="shared" si="10"/>
        <v>2.1621621621621623E-2</v>
      </c>
    </row>
    <row r="166" spans="1:31" x14ac:dyDescent="0.5">
      <c r="A166" s="3">
        <v>56</v>
      </c>
      <c r="B166" s="3">
        <v>18</v>
      </c>
      <c r="C166" s="3">
        <v>479</v>
      </c>
      <c r="D166" s="3">
        <v>4</v>
      </c>
      <c r="E166" s="3">
        <v>138</v>
      </c>
      <c r="F166" s="3">
        <v>245</v>
      </c>
      <c r="G166" s="3">
        <v>284</v>
      </c>
      <c r="H166" s="16">
        <f t="shared" si="8"/>
        <v>0.59290187891440504</v>
      </c>
      <c r="I166" s="3">
        <v>500</v>
      </c>
      <c r="J166" s="3">
        <v>0</v>
      </c>
      <c r="K166" s="3">
        <v>0</v>
      </c>
      <c r="L166" s="3">
        <v>1</v>
      </c>
      <c r="M166" s="3">
        <v>0</v>
      </c>
      <c r="N166" s="3">
        <v>0</v>
      </c>
      <c r="O166" s="3">
        <v>1</v>
      </c>
      <c r="P166" s="3">
        <v>0</v>
      </c>
      <c r="Q166" s="3">
        <v>1</v>
      </c>
      <c r="R166" s="3">
        <v>1</v>
      </c>
      <c r="S166" s="3">
        <v>0</v>
      </c>
      <c r="T166" s="3">
        <v>0</v>
      </c>
      <c r="U166" s="3">
        <v>1</v>
      </c>
      <c r="V166" s="3">
        <v>1</v>
      </c>
      <c r="W166" s="3">
        <v>0</v>
      </c>
      <c r="X166" s="3">
        <v>0</v>
      </c>
      <c r="Y166" s="3">
        <v>165</v>
      </c>
      <c r="Z166" s="3">
        <v>59</v>
      </c>
      <c r="AA166" s="3">
        <v>51</v>
      </c>
      <c r="AB166" s="3">
        <v>0</v>
      </c>
      <c r="AC166" s="3">
        <f t="shared" si="9"/>
        <v>281</v>
      </c>
      <c r="AD166" s="3">
        <v>3</v>
      </c>
      <c r="AE166" s="16">
        <f t="shared" si="10"/>
        <v>1.0563380281690141E-2</v>
      </c>
    </row>
    <row r="167" spans="1:31" x14ac:dyDescent="0.5">
      <c r="A167" s="3">
        <v>56</v>
      </c>
      <c r="B167" s="3">
        <v>19</v>
      </c>
      <c r="C167" s="3">
        <v>656</v>
      </c>
      <c r="D167" s="3">
        <v>6</v>
      </c>
      <c r="E167" s="3">
        <v>139</v>
      </c>
      <c r="F167" s="3">
        <v>282</v>
      </c>
      <c r="G167" s="3">
        <v>329</v>
      </c>
      <c r="H167" s="16">
        <f t="shared" si="8"/>
        <v>0.50152439024390238</v>
      </c>
      <c r="I167" s="3">
        <v>600</v>
      </c>
      <c r="J167" s="3">
        <v>0</v>
      </c>
      <c r="K167" s="3">
        <v>0</v>
      </c>
      <c r="L167" s="3">
        <v>1</v>
      </c>
      <c r="M167" s="3">
        <v>0</v>
      </c>
      <c r="N167" s="3">
        <v>0</v>
      </c>
      <c r="O167" s="3">
        <v>1</v>
      </c>
      <c r="P167" s="3">
        <v>0</v>
      </c>
      <c r="Q167" s="3">
        <v>1</v>
      </c>
      <c r="R167" s="3">
        <v>0</v>
      </c>
      <c r="S167" s="3">
        <v>0</v>
      </c>
      <c r="T167" s="3">
        <v>0</v>
      </c>
      <c r="U167" s="3">
        <v>0</v>
      </c>
      <c r="V167" s="3">
        <v>1</v>
      </c>
      <c r="W167" s="3">
        <v>0</v>
      </c>
      <c r="X167" s="3">
        <v>0</v>
      </c>
      <c r="Y167" s="3">
        <v>189</v>
      </c>
      <c r="Z167" s="3">
        <v>86</v>
      </c>
      <c r="AA167" s="3">
        <v>45</v>
      </c>
      <c r="AB167" s="3">
        <v>0</v>
      </c>
      <c r="AC167" s="3">
        <f t="shared" si="9"/>
        <v>324</v>
      </c>
      <c r="AD167" s="3">
        <v>5</v>
      </c>
      <c r="AE167" s="16">
        <f t="shared" si="10"/>
        <v>1.5197568389057751E-2</v>
      </c>
    </row>
    <row r="168" spans="1:31" x14ac:dyDescent="0.5">
      <c r="A168" s="3">
        <v>56</v>
      </c>
      <c r="B168" s="3">
        <v>20</v>
      </c>
      <c r="C168" s="3">
        <v>544</v>
      </c>
      <c r="D168" s="3">
        <v>1</v>
      </c>
      <c r="E168" s="3">
        <v>71</v>
      </c>
      <c r="F168" s="3">
        <v>201</v>
      </c>
      <c r="G168" s="3">
        <v>220</v>
      </c>
      <c r="H168" s="16">
        <f t="shared" si="8"/>
        <v>0.40441176470588236</v>
      </c>
      <c r="I168" s="3">
        <v>500</v>
      </c>
      <c r="J168" s="3">
        <v>0</v>
      </c>
      <c r="K168" s="3">
        <v>0</v>
      </c>
      <c r="L168" s="3">
        <v>1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1</v>
      </c>
      <c r="S168" s="3">
        <v>0</v>
      </c>
      <c r="T168" s="3">
        <v>1</v>
      </c>
      <c r="U168" s="3">
        <v>0</v>
      </c>
      <c r="V168" s="3">
        <v>1</v>
      </c>
      <c r="W168" s="3">
        <v>0</v>
      </c>
      <c r="X168" s="3">
        <v>0</v>
      </c>
      <c r="Y168" s="3">
        <v>143</v>
      </c>
      <c r="Z168" s="3">
        <v>23</v>
      </c>
      <c r="AA168" s="3">
        <v>41</v>
      </c>
      <c r="AB168" s="3">
        <v>0</v>
      </c>
      <c r="AC168" s="3">
        <f t="shared" si="9"/>
        <v>211</v>
      </c>
      <c r="AD168" s="3">
        <v>9</v>
      </c>
      <c r="AE168" s="16">
        <f t="shared" si="10"/>
        <v>4.0909090909090909E-2</v>
      </c>
    </row>
    <row r="169" spans="1:31" x14ac:dyDescent="0.5">
      <c r="A169" s="3">
        <v>56</v>
      </c>
      <c r="B169" s="3">
        <v>21</v>
      </c>
      <c r="C169" s="3">
        <v>1046</v>
      </c>
      <c r="D169" s="3">
        <v>3</v>
      </c>
      <c r="E169" s="3">
        <v>224</v>
      </c>
      <c r="F169" s="3">
        <v>518</v>
      </c>
      <c r="G169" s="3">
        <v>591</v>
      </c>
      <c r="H169" s="16">
        <f t="shared" si="8"/>
        <v>0.56500956022944548</v>
      </c>
      <c r="I169" s="3">
        <v>1000</v>
      </c>
      <c r="J169" s="3">
        <v>0</v>
      </c>
      <c r="K169" s="3">
        <v>0</v>
      </c>
      <c r="L169" s="3">
        <v>1</v>
      </c>
      <c r="M169" s="3">
        <v>0</v>
      </c>
      <c r="N169" s="3">
        <v>0</v>
      </c>
      <c r="O169" s="3">
        <v>1</v>
      </c>
      <c r="P169" s="3">
        <v>0</v>
      </c>
      <c r="Q169" s="3">
        <v>2</v>
      </c>
      <c r="R169" s="3">
        <v>1</v>
      </c>
      <c r="S169" s="3">
        <v>0</v>
      </c>
      <c r="T169" s="3">
        <v>0</v>
      </c>
      <c r="U169" s="3">
        <v>1</v>
      </c>
      <c r="V169" s="3">
        <v>3</v>
      </c>
      <c r="W169" s="3">
        <v>0</v>
      </c>
      <c r="X169" s="3">
        <v>0</v>
      </c>
      <c r="Y169" s="3">
        <v>328</v>
      </c>
      <c r="Z169" s="3">
        <v>221</v>
      </c>
      <c r="AA169" s="3">
        <v>22</v>
      </c>
      <c r="AB169" s="3">
        <v>0</v>
      </c>
      <c r="AC169" s="3">
        <f t="shared" si="9"/>
        <v>580</v>
      </c>
      <c r="AD169" s="3">
        <v>11</v>
      </c>
      <c r="AE169" s="16">
        <f t="shared" si="10"/>
        <v>1.8612521150592216E-2</v>
      </c>
    </row>
    <row r="170" spans="1:31" x14ac:dyDescent="0.5">
      <c r="A170" s="3">
        <v>56</v>
      </c>
      <c r="B170" s="3">
        <v>22</v>
      </c>
      <c r="C170" s="3">
        <v>1239</v>
      </c>
      <c r="D170" s="3">
        <v>2</v>
      </c>
      <c r="E170" s="3">
        <v>200</v>
      </c>
      <c r="F170" s="3">
        <v>401</v>
      </c>
      <c r="G170" s="3">
        <v>456</v>
      </c>
      <c r="H170" s="16">
        <f t="shared" si="8"/>
        <v>0.36803874092009686</v>
      </c>
      <c r="I170" s="3">
        <v>1200</v>
      </c>
      <c r="J170" s="3">
        <v>2</v>
      </c>
      <c r="K170" s="3">
        <v>0</v>
      </c>
      <c r="L170" s="3">
        <v>4</v>
      </c>
      <c r="M170" s="3">
        <v>0</v>
      </c>
      <c r="N170" s="3">
        <v>0</v>
      </c>
      <c r="O170" s="3">
        <v>0</v>
      </c>
      <c r="P170" s="3">
        <v>0</v>
      </c>
      <c r="Q170" s="3">
        <v>3</v>
      </c>
      <c r="R170" s="3">
        <v>0</v>
      </c>
      <c r="S170" s="3">
        <v>0</v>
      </c>
      <c r="T170" s="3">
        <v>0</v>
      </c>
      <c r="U170" s="3">
        <v>2</v>
      </c>
      <c r="V170" s="3">
        <v>3</v>
      </c>
      <c r="W170" s="3">
        <v>1</v>
      </c>
      <c r="X170" s="3">
        <v>1</v>
      </c>
      <c r="Y170" s="3">
        <v>339</v>
      </c>
      <c r="Z170" s="3">
        <v>37</v>
      </c>
      <c r="AA170" s="3">
        <v>58</v>
      </c>
      <c r="AB170" s="3">
        <v>0</v>
      </c>
      <c r="AC170" s="3">
        <f t="shared" si="9"/>
        <v>450</v>
      </c>
      <c r="AD170" s="3">
        <v>6</v>
      </c>
      <c r="AE170" s="16">
        <f t="shared" si="10"/>
        <v>1.3157894736842105E-2</v>
      </c>
    </row>
    <row r="171" spans="1:31" x14ac:dyDescent="0.5">
      <c r="A171" s="3">
        <v>56</v>
      </c>
      <c r="B171" s="3">
        <v>23</v>
      </c>
      <c r="C171" s="3">
        <v>1401</v>
      </c>
      <c r="D171" s="3">
        <v>3</v>
      </c>
      <c r="E171" s="3">
        <v>251</v>
      </c>
      <c r="F171" s="3">
        <v>500</v>
      </c>
      <c r="G171" s="3">
        <v>586</v>
      </c>
      <c r="H171" s="16">
        <f t="shared" si="8"/>
        <v>0.4182726623840114</v>
      </c>
      <c r="I171" s="3">
        <v>1350</v>
      </c>
      <c r="J171" s="3">
        <v>3</v>
      </c>
      <c r="K171" s="3">
        <v>0</v>
      </c>
      <c r="L171" s="3">
        <v>2</v>
      </c>
      <c r="M171" s="3">
        <v>0</v>
      </c>
      <c r="N171" s="3">
        <v>0</v>
      </c>
      <c r="O171" s="3">
        <v>2</v>
      </c>
      <c r="P171" s="3">
        <v>0</v>
      </c>
      <c r="Q171" s="3">
        <v>2</v>
      </c>
      <c r="R171" s="3">
        <v>3</v>
      </c>
      <c r="S171" s="3">
        <v>0</v>
      </c>
      <c r="T171" s="3">
        <v>3</v>
      </c>
      <c r="U171" s="3">
        <v>0</v>
      </c>
      <c r="V171" s="3">
        <v>0</v>
      </c>
      <c r="W171" s="3">
        <v>0</v>
      </c>
      <c r="X171" s="3">
        <v>3</v>
      </c>
      <c r="Y171" s="3">
        <v>391</v>
      </c>
      <c r="Z171" s="3">
        <v>108</v>
      </c>
      <c r="AA171" s="3">
        <v>53</v>
      </c>
      <c r="AB171" s="3">
        <v>0</v>
      </c>
      <c r="AC171" s="3">
        <f t="shared" si="9"/>
        <v>570</v>
      </c>
      <c r="AD171" s="3">
        <v>16</v>
      </c>
      <c r="AE171" s="16">
        <f t="shared" si="10"/>
        <v>2.7303754266211604E-2</v>
      </c>
    </row>
    <row r="172" spans="1:31" x14ac:dyDescent="0.5">
      <c r="A172" s="3">
        <v>56</v>
      </c>
      <c r="B172" s="3">
        <v>24</v>
      </c>
      <c r="C172" s="3">
        <v>408</v>
      </c>
      <c r="D172" s="3">
        <v>5</v>
      </c>
      <c r="E172" s="3">
        <v>73</v>
      </c>
      <c r="F172" s="3">
        <v>157</v>
      </c>
      <c r="G172" s="3">
        <v>177</v>
      </c>
      <c r="H172" s="16">
        <f t="shared" si="8"/>
        <v>0.43382352941176472</v>
      </c>
      <c r="I172" s="3">
        <v>400</v>
      </c>
      <c r="J172" s="3">
        <v>0</v>
      </c>
      <c r="K172" s="3">
        <v>0</v>
      </c>
      <c r="L172" s="3">
        <v>1</v>
      </c>
      <c r="M172" s="3">
        <v>0</v>
      </c>
      <c r="N172" s="3">
        <v>0</v>
      </c>
      <c r="O172" s="3">
        <v>1</v>
      </c>
      <c r="P172" s="3">
        <v>0</v>
      </c>
      <c r="Q172" s="3">
        <v>0</v>
      </c>
      <c r="R172" s="3">
        <v>1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106</v>
      </c>
      <c r="Z172" s="3">
        <v>34</v>
      </c>
      <c r="AA172" s="3">
        <v>31</v>
      </c>
      <c r="AB172" s="3">
        <v>0</v>
      </c>
      <c r="AC172" s="3">
        <f t="shared" si="9"/>
        <v>174</v>
      </c>
      <c r="AD172" s="3">
        <v>3</v>
      </c>
      <c r="AE172" s="16">
        <f t="shared" si="10"/>
        <v>1.6949152542372881E-2</v>
      </c>
    </row>
    <row r="173" spans="1:31" x14ac:dyDescent="0.5">
      <c r="A173" s="3">
        <v>56</v>
      </c>
      <c r="B173" s="3">
        <v>25</v>
      </c>
      <c r="C173" s="3">
        <v>660</v>
      </c>
      <c r="D173" s="3">
        <v>2</v>
      </c>
      <c r="E173" s="3">
        <v>123</v>
      </c>
      <c r="F173" s="3">
        <v>260</v>
      </c>
      <c r="G173" s="3">
        <v>289</v>
      </c>
      <c r="H173" s="16">
        <f t="shared" si="8"/>
        <v>0.43787878787878787</v>
      </c>
      <c r="I173" s="3">
        <v>600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1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182</v>
      </c>
      <c r="Z173" s="3">
        <v>57</v>
      </c>
      <c r="AA173" s="3">
        <v>37</v>
      </c>
      <c r="AB173" s="3">
        <v>0</v>
      </c>
      <c r="AC173" s="3">
        <f t="shared" si="9"/>
        <v>277</v>
      </c>
      <c r="AD173" s="3">
        <v>12</v>
      </c>
      <c r="AE173" s="16">
        <f t="shared" si="10"/>
        <v>4.1522491349480967E-2</v>
      </c>
    </row>
    <row r="174" spans="1:31" x14ac:dyDescent="0.5">
      <c r="A174" s="3">
        <v>56</v>
      </c>
      <c r="B174" s="3">
        <v>26</v>
      </c>
      <c r="C174" s="3">
        <v>373</v>
      </c>
      <c r="D174" s="3">
        <v>6</v>
      </c>
      <c r="E174" s="3">
        <v>58</v>
      </c>
      <c r="F174" s="3">
        <v>162</v>
      </c>
      <c r="G174" s="3">
        <v>194</v>
      </c>
      <c r="H174" s="16">
        <f t="shared" si="8"/>
        <v>0.52010723860589814</v>
      </c>
      <c r="I174" s="3">
        <v>400</v>
      </c>
      <c r="J174" s="3">
        <v>3</v>
      </c>
      <c r="K174" s="3">
        <v>0</v>
      </c>
      <c r="L174" s="3">
        <v>2</v>
      </c>
      <c r="M174" s="3">
        <v>0</v>
      </c>
      <c r="N174" s="3">
        <v>0</v>
      </c>
      <c r="O174" s="3">
        <v>0</v>
      </c>
      <c r="P174" s="3">
        <v>0</v>
      </c>
      <c r="Q174" s="3">
        <v>1</v>
      </c>
      <c r="R174" s="3">
        <v>1</v>
      </c>
      <c r="S174" s="3">
        <v>0</v>
      </c>
      <c r="T174" s="3">
        <v>2</v>
      </c>
      <c r="U174" s="3">
        <v>1</v>
      </c>
      <c r="V174" s="3">
        <v>0</v>
      </c>
      <c r="W174" s="3">
        <v>0</v>
      </c>
      <c r="X174" s="3">
        <v>0</v>
      </c>
      <c r="Y174" s="3">
        <v>109</v>
      </c>
      <c r="Z174" s="3">
        <v>33</v>
      </c>
      <c r="AA174" s="3">
        <v>38</v>
      </c>
      <c r="AB174" s="3">
        <v>0</v>
      </c>
      <c r="AC174" s="3">
        <f t="shared" si="9"/>
        <v>190</v>
      </c>
      <c r="AD174" s="3">
        <v>4</v>
      </c>
      <c r="AE174" s="16">
        <f t="shared" si="10"/>
        <v>2.0618556701030927E-2</v>
      </c>
    </row>
    <row r="175" spans="1:31" x14ac:dyDescent="0.5">
      <c r="A175" s="3">
        <v>56</v>
      </c>
      <c r="B175" s="3">
        <v>27</v>
      </c>
      <c r="C175" s="3">
        <v>1044</v>
      </c>
      <c r="D175" s="3">
        <v>4</v>
      </c>
      <c r="E175" s="3">
        <v>233</v>
      </c>
      <c r="F175" s="3">
        <v>427</v>
      </c>
      <c r="G175" s="3">
        <v>520</v>
      </c>
      <c r="H175" s="16">
        <f t="shared" si="8"/>
        <v>0.49808429118773945</v>
      </c>
      <c r="I175" s="3">
        <v>1000</v>
      </c>
      <c r="J175" s="3">
        <v>1</v>
      </c>
      <c r="K175" s="3">
        <v>0</v>
      </c>
      <c r="L175" s="3">
        <v>1</v>
      </c>
      <c r="M175" s="3">
        <v>0</v>
      </c>
      <c r="N175" s="3">
        <v>0</v>
      </c>
      <c r="O175" s="3">
        <v>0</v>
      </c>
      <c r="P175" s="3">
        <v>0</v>
      </c>
      <c r="Q175" s="3">
        <v>1</v>
      </c>
      <c r="R175" s="3">
        <v>1</v>
      </c>
      <c r="S175" s="3">
        <v>0</v>
      </c>
      <c r="T175" s="3">
        <v>0</v>
      </c>
      <c r="U175" s="3">
        <v>5</v>
      </c>
      <c r="V175" s="3">
        <v>0</v>
      </c>
      <c r="W175" s="3">
        <v>0</v>
      </c>
      <c r="X175" s="3">
        <v>0</v>
      </c>
      <c r="Y175" s="3">
        <v>328</v>
      </c>
      <c r="Z175" s="3">
        <v>84</v>
      </c>
      <c r="AA175" s="3">
        <v>92</v>
      </c>
      <c r="AB175" s="3">
        <v>0</v>
      </c>
      <c r="AC175" s="3">
        <f t="shared" si="9"/>
        <v>513</v>
      </c>
      <c r="AD175" s="3">
        <v>7</v>
      </c>
      <c r="AE175" s="16">
        <f t="shared" si="10"/>
        <v>1.3461538461538462E-2</v>
      </c>
    </row>
    <row r="176" spans="1:31" x14ac:dyDescent="0.5">
      <c r="A176" s="3">
        <v>56</v>
      </c>
      <c r="B176" s="3">
        <v>28</v>
      </c>
      <c r="C176" s="3">
        <v>541</v>
      </c>
      <c r="D176" s="3">
        <v>1</v>
      </c>
      <c r="E176" s="3">
        <v>116</v>
      </c>
      <c r="F176" s="3">
        <v>230</v>
      </c>
      <c r="G176" s="3">
        <v>284</v>
      </c>
      <c r="H176" s="16">
        <f t="shared" si="8"/>
        <v>0.52495378927911274</v>
      </c>
      <c r="I176" s="3">
        <v>500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3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186</v>
      </c>
      <c r="Z176" s="3">
        <v>31</v>
      </c>
      <c r="AA176" s="3">
        <v>59</v>
      </c>
      <c r="AB176" s="3">
        <v>0</v>
      </c>
      <c r="AC176" s="3">
        <f t="shared" si="9"/>
        <v>279</v>
      </c>
      <c r="AD176" s="3">
        <v>5</v>
      </c>
      <c r="AE176" s="16">
        <f t="shared" si="10"/>
        <v>1.7605633802816902E-2</v>
      </c>
    </row>
    <row r="177" spans="1:31" x14ac:dyDescent="0.5">
      <c r="A177" s="3">
        <v>56</v>
      </c>
      <c r="B177" s="3">
        <v>29</v>
      </c>
      <c r="C177" s="3">
        <v>1308</v>
      </c>
      <c r="D177" s="3">
        <v>2</v>
      </c>
      <c r="E177" s="3">
        <v>244</v>
      </c>
      <c r="F177" s="3">
        <v>516</v>
      </c>
      <c r="G177" s="3">
        <v>591</v>
      </c>
      <c r="H177" s="16">
        <f t="shared" si="8"/>
        <v>0.45183486238532111</v>
      </c>
      <c r="I177" s="3">
        <v>1250</v>
      </c>
      <c r="J177" s="3">
        <v>1</v>
      </c>
      <c r="K177" s="3">
        <v>0</v>
      </c>
      <c r="L177" s="3">
        <v>3</v>
      </c>
      <c r="M177" s="3">
        <v>0</v>
      </c>
      <c r="N177" s="3">
        <v>0</v>
      </c>
      <c r="O177" s="3">
        <v>3</v>
      </c>
      <c r="P177" s="3">
        <v>0</v>
      </c>
      <c r="Q177" s="3">
        <v>3</v>
      </c>
      <c r="R177" s="3">
        <v>3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406</v>
      </c>
      <c r="Z177" s="3">
        <v>81</v>
      </c>
      <c r="AA177" s="3">
        <v>69</v>
      </c>
      <c r="AB177" s="3">
        <v>0</v>
      </c>
      <c r="AC177" s="3">
        <f t="shared" si="9"/>
        <v>570</v>
      </c>
      <c r="AD177" s="3">
        <v>21</v>
      </c>
      <c r="AE177" s="16">
        <f t="shared" si="10"/>
        <v>3.553299492385787E-2</v>
      </c>
    </row>
    <row r="178" spans="1:31" x14ac:dyDescent="0.5">
      <c r="A178" s="3">
        <v>56</v>
      </c>
      <c r="B178" s="3">
        <v>30</v>
      </c>
      <c r="C178" s="3">
        <v>416</v>
      </c>
      <c r="D178" s="3">
        <v>5</v>
      </c>
      <c r="E178" s="3">
        <v>94</v>
      </c>
      <c r="F178" s="3">
        <v>197</v>
      </c>
      <c r="G178" s="3">
        <v>212</v>
      </c>
      <c r="H178" s="16">
        <f t="shared" si="8"/>
        <v>0.50961538461538458</v>
      </c>
      <c r="I178" s="3">
        <v>450</v>
      </c>
      <c r="J178" s="3">
        <v>1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1</v>
      </c>
      <c r="S178" s="3">
        <v>0</v>
      </c>
      <c r="T178" s="3">
        <v>0</v>
      </c>
      <c r="U178" s="3">
        <v>1</v>
      </c>
      <c r="V178" s="3">
        <v>0</v>
      </c>
      <c r="W178" s="3">
        <v>0</v>
      </c>
      <c r="X178" s="3">
        <v>0</v>
      </c>
      <c r="Y178" s="3">
        <v>166</v>
      </c>
      <c r="Z178" s="3">
        <v>11</v>
      </c>
      <c r="AA178" s="3">
        <v>29</v>
      </c>
      <c r="AB178" s="3">
        <v>0</v>
      </c>
      <c r="AC178" s="3">
        <f t="shared" si="9"/>
        <v>209</v>
      </c>
      <c r="AD178" s="3">
        <v>3</v>
      </c>
      <c r="AE178" s="16">
        <f t="shared" si="10"/>
        <v>1.4150943396226415E-2</v>
      </c>
    </row>
    <row r="179" spans="1:31" x14ac:dyDescent="0.5">
      <c r="A179" s="3">
        <v>56</v>
      </c>
      <c r="B179" s="3">
        <v>31</v>
      </c>
      <c r="C179" s="3">
        <v>994</v>
      </c>
      <c r="D179" s="3">
        <v>6</v>
      </c>
      <c r="E179" s="3">
        <v>175</v>
      </c>
      <c r="F179" s="3">
        <v>382</v>
      </c>
      <c r="G179" s="3">
        <v>421</v>
      </c>
      <c r="H179" s="16">
        <f t="shared" si="8"/>
        <v>0.42354124748490946</v>
      </c>
      <c r="I179" s="3">
        <v>950</v>
      </c>
      <c r="J179" s="3">
        <v>0</v>
      </c>
      <c r="K179" s="3">
        <v>0</v>
      </c>
      <c r="L179" s="3">
        <v>4</v>
      </c>
      <c r="M179" s="3">
        <v>0</v>
      </c>
      <c r="N179" s="3">
        <v>0</v>
      </c>
      <c r="O179" s="3">
        <v>1</v>
      </c>
      <c r="P179" s="3">
        <v>0</v>
      </c>
      <c r="Q179" s="3">
        <v>0</v>
      </c>
      <c r="R179" s="3">
        <v>1</v>
      </c>
      <c r="S179" s="3">
        <v>0</v>
      </c>
      <c r="T179" s="3">
        <v>2</v>
      </c>
      <c r="U179" s="3">
        <v>0</v>
      </c>
      <c r="V179" s="3">
        <v>1</v>
      </c>
      <c r="W179" s="3">
        <v>1</v>
      </c>
      <c r="X179" s="3">
        <v>1</v>
      </c>
      <c r="Y179" s="3">
        <v>238</v>
      </c>
      <c r="Z179" s="3">
        <v>78</v>
      </c>
      <c r="AA179" s="3">
        <v>74</v>
      </c>
      <c r="AB179" s="3">
        <v>0</v>
      </c>
      <c r="AC179" s="3">
        <f t="shared" si="9"/>
        <v>401</v>
      </c>
      <c r="AD179" s="3">
        <v>20</v>
      </c>
      <c r="AE179" s="16">
        <f t="shared" si="10"/>
        <v>4.7505938242280284E-2</v>
      </c>
    </row>
    <row r="180" spans="1:31" x14ac:dyDescent="0.5">
      <c r="A180" s="3">
        <v>56</v>
      </c>
      <c r="B180" s="3">
        <v>32</v>
      </c>
      <c r="C180" s="3">
        <v>1049</v>
      </c>
      <c r="D180" s="3">
        <v>4</v>
      </c>
      <c r="E180" s="3">
        <v>141</v>
      </c>
      <c r="F180" s="3">
        <v>347</v>
      </c>
      <c r="G180" s="3">
        <v>390</v>
      </c>
      <c r="H180" s="16">
        <f t="shared" si="8"/>
        <v>0.37178265014299333</v>
      </c>
      <c r="I180" s="3">
        <v>1000</v>
      </c>
      <c r="J180" s="3">
        <v>1</v>
      </c>
      <c r="K180" s="3">
        <v>0</v>
      </c>
      <c r="L180" s="3">
        <v>0</v>
      </c>
      <c r="M180" s="3">
        <v>0</v>
      </c>
      <c r="N180" s="3">
        <v>0</v>
      </c>
      <c r="O180" s="3">
        <v>2</v>
      </c>
      <c r="P180" s="3">
        <v>0</v>
      </c>
      <c r="Q180" s="3">
        <v>1</v>
      </c>
      <c r="R180" s="3">
        <v>2</v>
      </c>
      <c r="S180" s="3">
        <v>0</v>
      </c>
      <c r="T180" s="3">
        <v>2</v>
      </c>
      <c r="U180" s="3">
        <v>2</v>
      </c>
      <c r="V180" s="3">
        <v>1</v>
      </c>
      <c r="W180" s="3">
        <v>2</v>
      </c>
      <c r="X180" s="3">
        <v>0</v>
      </c>
      <c r="Y180" s="3">
        <v>255</v>
      </c>
      <c r="Z180" s="3">
        <v>61</v>
      </c>
      <c r="AA180" s="3">
        <v>50</v>
      </c>
      <c r="AB180" s="3">
        <v>0</v>
      </c>
      <c r="AC180" s="3">
        <f t="shared" si="9"/>
        <v>379</v>
      </c>
      <c r="AD180" s="3">
        <v>11</v>
      </c>
      <c r="AE180" s="16">
        <f t="shared" si="10"/>
        <v>2.8205128205128206E-2</v>
      </c>
    </row>
    <row r="181" spans="1:31" x14ac:dyDescent="0.5">
      <c r="A181" s="3">
        <v>56</v>
      </c>
      <c r="B181" s="3">
        <v>33</v>
      </c>
      <c r="C181" s="3">
        <v>949</v>
      </c>
      <c r="D181" s="3">
        <v>6</v>
      </c>
      <c r="E181" s="3">
        <v>147</v>
      </c>
      <c r="F181" s="3">
        <v>298</v>
      </c>
      <c r="G181" s="3">
        <v>398</v>
      </c>
      <c r="H181" s="16">
        <f t="shared" si="8"/>
        <v>0.41938883034773444</v>
      </c>
      <c r="I181" s="3">
        <v>900</v>
      </c>
      <c r="J181" s="3">
        <v>3</v>
      </c>
      <c r="K181" s="3">
        <v>0</v>
      </c>
      <c r="L181" s="3">
        <v>5</v>
      </c>
      <c r="M181" s="3">
        <v>0</v>
      </c>
      <c r="N181" s="3">
        <v>0</v>
      </c>
      <c r="O181" s="3">
        <v>0</v>
      </c>
      <c r="P181" s="3">
        <v>0</v>
      </c>
      <c r="Q181" s="3">
        <v>2</v>
      </c>
      <c r="R181" s="3">
        <v>3</v>
      </c>
      <c r="S181" s="3">
        <v>0</v>
      </c>
      <c r="T181" s="3">
        <v>1</v>
      </c>
      <c r="U181" s="3">
        <v>0</v>
      </c>
      <c r="V181" s="3">
        <v>0</v>
      </c>
      <c r="W181" s="3">
        <v>0</v>
      </c>
      <c r="X181" s="3">
        <v>1</v>
      </c>
      <c r="Y181" s="3">
        <v>299</v>
      </c>
      <c r="Z181" s="3">
        <v>43</v>
      </c>
      <c r="AA181" s="3">
        <v>35</v>
      </c>
      <c r="AB181" s="3">
        <v>0</v>
      </c>
      <c r="AC181" s="3">
        <f t="shared" si="9"/>
        <v>392</v>
      </c>
      <c r="AD181" s="3">
        <v>5</v>
      </c>
      <c r="AE181" s="16">
        <f t="shared" si="10"/>
        <v>1.2594458438287154E-2</v>
      </c>
    </row>
    <row r="182" spans="1:31" x14ac:dyDescent="0.5">
      <c r="A182" s="3">
        <v>56</v>
      </c>
      <c r="B182" s="3">
        <v>34</v>
      </c>
      <c r="C182" s="3">
        <v>641</v>
      </c>
      <c r="D182" s="3">
        <v>3</v>
      </c>
      <c r="E182" s="3">
        <v>128</v>
      </c>
      <c r="F182" s="3">
        <v>295</v>
      </c>
      <c r="G182" s="3">
        <v>338</v>
      </c>
      <c r="H182" s="16">
        <f t="shared" si="8"/>
        <v>0.5273010920436817</v>
      </c>
      <c r="I182" s="3">
        <v>600</v>
      </c>
      <c r="J182" s="3">
        <v>0</v>
      </c>
      <c r="K182" s="3">
        <v>0</v>
      </c>
      <c r="L182" s="3">
        <v>1</v>
      </c>
      <c r="M182" s="3">
        <v>0</v>
      </c>
      <c r="N182" s="3">
        <v>0</v>
      </c>
      <c r="O182" s="3">
        <v>0</v>
      </c>
      <c r="P182" s="3">
        <v>0</v>
      </c>
      <c r="Q182" s="3">
        <v>1</v>
      </c>
      <c r="R182" s="3">
        <v>0</v>
      </c>
      <c r="S182" s="3">
        <v>0</v>
      </c>
      <c r="T182" s="3">
        <v>0</v>
      </c>
      <c r="U182" s="3">
        <v>0</v>
      </c>
      <c r="V182" s="3">
        <v>1</v>
      </c>
      <c r="W182" s="3">
        <v>1</v>
      </c>
      <c r="X182" s="3">
        <v>1</v>
      </c>
      <c r="Y182" s="3">
        <v>182</v>
      </c>
      <c r="Z182" s="3">
        <v>102</v>
      </c>
      <c r="AA182" s="3">
        <v>43</v>
      </c>
      <c r="AB182" s="3">
        <v>0</v>
      </c>
      <c r="AC182" s="3">
        <f t="shared" si="9"/>
        <v>332</v>
      </c>
      <c r="AD182" s="3">
        <v>6</v>
      </c>
      <c r="AE182" s="16">
        <f t="shared" si="10"/>
        <v>1.7751479289940829E-2</v>
      </c>
    </row>
    <row r="183" spans="1:31" x14ac:dyDescent="0.5">
      <c r="A183" s="3">
        <v>56</v>
      </c>
      <c r="B183" s="3">
        <v>35</v>
      </c>
      <c r="C183" s="3">
        <v>1247</v>
      </c>
      <c r="D183" s="3">
        <v>3</v>
      </c>
      <c r="E183" s="3">
        <v>208</v>
      </c>
      <c r="F183" s="3">
        <v>442</v>
      </c>
      <c r="G183" s="3">
        <v>555</v>
      </c>
      <c r="H183" s="16">
        <f t="shared" si="8"/>
        <v>0.4450681635926223</v>
      </c>
      <c r="I183" s="3">
        <v>1200</v>
      </c>
      <c r="J183" s="3">
        <v>1</v>
      </c>
      <c r="K183" s="3">
        <v>0</v>
      </c>
      <c r="L183" s="3">
        <v>3</v>
      </c>
      <c r="M183" s="3">
        <v>0</v>
      </c>
      <c r="N183" s="3">
        <v>0</v>
      </c>
      <c r="O183" s="3">
        <v>2</v>
      </c>
      <c r="P183" s="3">
        <v>0</v>
      </c>
      <c r="Q183" s="3">
        <v>2</v>
      </c>
      <c r="R183" s="3">
        <v>0</v>
      </c>
      <c r="S183" s="3">
        <v>0</v>
      </c>
      <c r="T183" s="3">
        <v>0</v>
      </c>
      <c r="U183" s="3">
        <v>0</v>
      </c>
      <c r="V183" s="3">
        <v>1</v>
      </c>
      <c r="W183" s="3">
        <v>2</v>
      </c>
      <c r="X183" s="3">
        <v>1</v>
      </c>
      <c r="Y183" s="3">
        <v>325</v>
      </c>
      <c r="Z183" s="3">
        <v>121</v>
      </c>
      <c r="AA183" s="3">
        <v>84</v>
      </c>
      <c r="AB183" s="3">
        <v>0</v>
      </c>
      <c r="AC183" s="3">
        <f t="shared" si="9"/>
        <v>542</v>
      </c>
      <c r="AD183" s="3">
        <v>13</v>
      </c>
      <c r="AE183" s="16">
        <f t="shared" si="10"/>
        <v>2.3423423423423424E-2</v>
      </c>
    </row>
    <row r="184" spans="1:31" x14ac:dyDescent="0.5">
      <c r="A184" s="3">
        <v>56</v>
      </c>
      <c r="B184" s="3">
        <v>36</v>
      </c>
      <c r="C184" s="3">
        <v>481</v>
      </c>
      <c r="D184" s="3">
        <v>1</v>
      </c>
      <c r="E184" s="3">
        <v>107</v>
      </c>
      <c r="F184" s="3">
        <v>200</v>
      </c>
      <c r="G184" s="3">
        <v>233</v>
      </c>
      <c r="H184" s="16">
        <f t="shared" si="8"/>
        <v>0.48440748440748443</v>
      </c>
      <c r="I184" s="3">
        <v>500</v>
      </c>
      <c r="J184" s="3">
        <v>0</v>
      </c>
      <c r="K184" s="3">
        <v>0</v>
      </c>
      <c r="L184" s="3">
        <v>1</v>
      </c>
      <c r="M184" s="3">
        <v>0</v>
      </c>
      <c r="N184" s="3">
        <v>0</v>
      </c>
      <c r="O184" s="3">
        <v>1</v>
      </c>
      <c r="P184" s="3">
        <v>0</v>
      </c>
      <c r="Q184" s="3">
        <v>1</v>
      </c>
      <c r="R184" s="3">
        <v>1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135</v>
      </c>
      <c r="Z184" s="3">
        <v>69</v>
      </c>
      <c r="AA184" s="3">
        <v>15</v>
      </c>
      <c r="AB184" s="3">
        <v>0</v>
      </c>
      <c r="AC184" s="3">
        <f t="shared" si="9"/>
        <v>223</v>
      </c>
      <c r="AD184" s="3">
        <v>10</v>
      </c>
      <c r="AE184" s="16">
        <f t="shared" si="10"/>
        <v>4.2918454935622317E-2</v>
      </c>
    </row>
    <row r="185" spans="1:31" x14ac:dyDescent="0.5">
      <c r="A185" s="3">
        <v>56</v>
      </c>
      <c r="B185" s="3">
        <v>37</v>
      </c>
      <c r="C185" s="3">
        <v>616</v>
      </c>
      <c r="D185" s="3">
        <v>3</v>
      </c>
      <c r="E185" s="3">
        <v>128</v>
      </c>
      <c r="F185" s="3">
        <v>264</v>
      </c>
      <c r="G185" s="3">
        <v>306</v>
      </c>
      <c r="H185" s="16">
        <f t="shared" si="8"/>
        <v>0.49675324675324678</v>
      </c>
      <c r="I185" s="3">
        <v>600</v>
      </c>
      <c r="J185" s="3">
        <v>0</v>
      </c>
      <c r="K185" s="3">
        <v>0</v>
      </c>
      <c r="L185" s="3">
        <v>3</v>
      </c>
      <c r="M185" s="3">
        <v>0</v>
      </c>
      <c r="N185" s="3">
        <v>0</v>
      </c>
      <c r="O185" s="3">
        <v>2</v>
      </c>
      <c r="P185" s="3">
        <v>0</v>
      </c>
      <c r="Q185" s="3">
        <v>1</v>
      </c>
      <c r="R185" s="3">
        <v>3</v>
      </c>
      <c r="S185" s="3">
        <v>0</v>
      </c>
      <c r="T185" s="3">
        <v>0</v>
      </c>
      <c r="U185" s="3">
        <v>2</v>
      </c>
      <c r="V185" s="3">
        <v>0</v>
      </c>
      <c r="W185" s="3">
        <v>0</v>
      </c>
      <c r="X185" s="3">
        <v>1</v>
      </c>
      <c r="Y185" s="3">
        <v>169</v>
      </c>
      <c r="Z185" s="3">
        <v>35</v>
      </c>
      <c r="AA185" s="3">
        <v>85</v>
      </c>
      <c r="AB185" s="3">
        <v>0</v>
      </c>
      <c r="AC185" s="3">
        <f t="shared" si="9"/>
        <v>301</v>
      </c>
      <c r="AD185" s="3">
        <v>5</v>
      </c>
      <c r="AE185" s="16">
        <f t="shared" si="10"/>
        <v>1.6339869281045753E-2</v>
      </c>
    </row>
    <row r="186" spans="1:31" x14ac:dyDescent="0.5">
      <c r="A186" s="3">
        <v>56</v>
      </c>
      <c r="B186" s="3">
        <v>38</v>
      </c>
      <c r="C186" s="3">
        <v>670</v>
      </c>
      <c r="D186" s="3">
        <v>4</v>
      </c>
      <c r="E186" s="3">
        <v>169</v>
      </c>
      <c r="F186" s="3">
        <v>295</v>
      </c>
      <c r="G186" s="3">
        <v>334</v>
      </c>
      <c r="H186" s="16">
        <f t="shared" si="8"/>
        <v>0.49850746268656715</v>
      </c>
      <c r="I186" s="3">
        <v>650</v>
      </c>
      <c r="J186" s="3">
        <v>0</v>
      </c>
      <c r="K186" s="3">
        <v>0</v>
      </c>
      <c r="L186" s="3">
        <v>1</v>
      </c>
      <c r="M186" s="3">
        <v>0</v>
      </c>
      <c r="N186" s="3">
        <v>0</v>
      </c>
      <c r="O186" s="3">
        <v>1</v>
      </c>
      <c r="P186" s="3">
        <v>0</v>
      </c>
      <c r="Q186" s="3">
        <v>0</v>
      </c>
      <c r="R186" s="3">
        <v>2</v>
      </c>
      <c r="S186" s="3">
        <v>0</v>
      </c>
      <c r="T186" s="3">
        <v>1</v>
      </c>
      <c r="U186" s="3">
        <v>0</v>
      </c>
      <c r="V186" s="3">
        <v>1</v>
      </c>
      <c r="W186" s="3">
        <v>0</v>
      </c>
      <c r="X186" s="3">
        <v>0</v>
      </c>
      <c r="Y186" s="3">
        <v>247</v>
      </c>
      <c r="Z186" s="3">
        <v>39</v>
      </c>
      <c r="AA186" s="3">
        <v>33</v>
      </c>
      <c r="AB186" s="3">
        <v>0</v>
      </c>
      <c r="AC186" s="3">
        <f t="shared" si="9"/>
        <v>325</v>
      </c>
      <c r="AD186" s="3">
        <v>9</v>
      </c>
      <c r="AE186" s="16">
        <f t="shared" si="10"/>
        <v>2.6946107784431138E-2</v>
      </c>
    </row>
    <row r="187" spans="1:31" x14ac:dyDescent="0.5">
      <c r="A187" s="3">
        <v>56</v>
      </c>
      <c r="B187" s="3">
        <v>39</v>
      </c>
      <c r="C187" s="3">
        <v>511</v>
      </c>
      <c r="D187" s="3">
        <v>4</v>
      </c>
      <c r="E187" s="3">
        <v>93</v>
      </c>
      <c r="F187" s="3">
        <v>215</v>
      </c>
      <c r="G187" s="3">
        <v>257</v>
      </c>
      <c r="H187" s="16">
        <f t="shared" si="8"/>
        <v>0.50293542074363995</v>
      </c>
      <c r="I187" s="3">
        <v>500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2</v>
      </c>
      <c r="S187" s="3">
        <v>0</v>
      </c>
      <c r="T187" s="3">
        <v>1</v>
      </c>
      <c r="U187" s="3">
        <v>0</v>
      </c>
      <c r="V187" s="3">
        <v>1</v>
      </c>
      <c r="W187" s="3">
        <v>0</v>
      </c>
      <c r="X187" s="3">
        <v>0</v>
      </c>
      <c r="Y187" s="3">
        <v>131</v>
      </c>
      <c r="Z187" s="3">
        <v>56</v>
      </c>
      <c r="AA187" s="3">
        <v>59</v>
      </c>
      <c r="AB187" s="3">
        <v>0</v>
      </c>
      <c r="AC187" s="3">
        <f t="shared" si="9"/>
        <v>250</v>
      </c>
      <c r="AD187" s="3">
        <v>7</v>
      </c>
      <c r="AE187" s="16">
        <f t="shared" si="10"/>
        <v>2.7237354085603113E-2</v>
      </c>
    </row>
    <row r="188" spans="1:31" x14ac:dyDescent="0.5">
      <c r="A188" s="3">
        <v>56</v>
      </c>
      <c r="B188" s="3">
        <v>40</v>
      </c>
      <c r="C188" s="3">
        <v>950</v>
      </c>
      <c r="D188" s="3">
        <v>2</v>
      </c>
      <c r="E188" s="3">
        <v>150</v>
      </c>
      <c r="F188" s="3">
        <v>352</v>
      </c>
      <c r="G188" s="3">
        <v>414</v>
      </c>
      <c r="H188" s="16">
        <f t="shared" si="8"/>
        <v>0.4357894736842105</v>
      </c>
      <c r="I188" s="3">
        <v>900</v>
      </c>
      <c r="J188" s="3">
        <v>0</v>
      </c>
      <c r="K188" s="3">
        <v>0</v>
      </c>
      <c r="L188" s="3">
        <v>5</v>
      </c>
      <c r="M188" s="3">
        <v>0</v>
      </c>
      <c r="N188" s="3">
        <v>0</v>
      </c>
      <c r="O188" s="3">
        <v>0</v>
      </c>
      <c r="P188" s="3">
        <v>0</v>
      </c>
      <c r="Q188" s="3">
        <v>2</v>
      </c>
      <c r="R188" s="3">
        <v>2</v>
      </c>
      <c r="S188" s="3">
        <v>0</v>
      </c>
      <c r="T188" s="3">
        <v>2</v>
      </c>
      <c r="U188" s="3">
        <v>1</v>
      </c>
      <c r="V188" s="3">
        <v>1</v>
      </c>
      <c r="W188" s="3">
        <v>0</v>
      </c>
      <c r="X188" s="3">
        <v>1</v>
      </c>
      <c r="Y188" s="3">
        <v>276</v>
      </c>
      <c r="Z188" s="3">
        <v>75</v>
      </c>
      <c r="AA188" s="3">
        <v>43</v>
      </c>
      <c r="AB188" s="3">
        <v>0</v>
      </c>
      <c r="AC188" s="3">
        <f t="shared" si="9"/>
        <v>408</v>
      </c>
      <c r="AD188" s="3">
        <v>6</v>
      </c>
      <c r="AE188" s="16">
        <f t="shared" si="10"/>
        <v>1.4492753623188406E-2</v>
      </c>
    </row>
    <row r="189" spans="1:31" x14ac:dyDescent="0.5">
      <c r="A189" s="3">
        <v>56</v>
      </c>
      <c r="B189" s="3">
        <v>41</v>
      </c>
      <c r="C189" s="3">
        <v>1144</v>
      </c>
      <c r="D189" s="3">
        <v>0</v>
      </c>
      <c r="E189" s="3">
        <v>152</v>
      </c>
      <c r="F189" s="3">
        <v>451</v>
      </c>
      <c r="G189" s="3">
        <v>544</v>
      </c>
      <c r="H189" s="16">
        <f t="shared" si="8"/>
        <v>0.47552447552447552</v>
      </c>
      <c r="I189" s="3">
        <v>1100</v>
      </c>
      <c r="J189" s="3">
        <v>0</v>
      </c>
      <c r="K189" s="3">
        <v>0</v>
      </c>
      <c r="L189" s="3">
        <v>1</v>
      </c>
      <c r="M189" s="3">
        <v>0</v>
      </c>
      <c r="N189" s="3">
        <v>0</v>
      </c>
      <c r="O189" s="3">
        <v>2</v>
      </c>
      <c r="P189" s="3">
        <v>0</v>
      </c>
      <c r="Q189" s="3">
        <v>4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1</v>
      </c>
      <c r="Y189" s="3">
        <v>360</v>
      </c>
      <c r="Z189" s="3">
        <v>96</v>
      </c>
      <c r="AA189" s="3">
        <v>68</v>
      </c>
      <c r="AB189" s="3">
        <v>0</v>
      </c>
      <c r="AC189" s="3">
        <f t="shared" si="9"/>
        <v>532</v>
      </c>
      <c r="AD189" s="3">
        <v>12</v>
      </c>
      <c r="AE189" s="16">
        <f t="shared" si="10"/>
        <v>2.2058823529411766E-2</v>
      </c>
    </row>
    <row r="190" spans="1:31" x14ac:dyDescent="0.5">
      <c r="A190" s="3">
        <v>56</v>
      </c>
      <c r="B190" s="3">
        <v>42</v>
      </c>
      <c r="C190" s="3">
        <v>477</v>
      </c>
      <c r="D190" s="3">
        <v>3</v>
      </c>
      <c r="E190" s="3">
        <v>55</v>
      </c>
      <c r="F190" s="3">
        <v>187</v>
      </c>
      <c r="G190" s="3">
        <v>239</v>
      </c>
      <c r="H190" s="16">
        <f t="shared" si="8"/>
        <v>0.50104821802935007</v>
      </c>
      <c r="I190" s="3">
        <v>500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1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0</v>
      </c>
      <c r="Y190" s="3">
        <v>147</v>
      </c>
      <c r="Z190" s="3">
        <v>49</v>
      </c>
      <c r="AA190" s="3">
        <v>38</v>
      </c>
      <c r="AB190" s="3">
        <v>0</v>
      </c>
      <c r="AC190" s="3">
        <f t="shared" si="9"/>
        <v>236</v>
      </c>
      <c r="AD190" s="3">
        <v>3</v>
      </c>
      <c r="AE190" s="16">
        <f t="shared" si="10"/>
        <v>1.2552301255230125E-2</v>
      </c>
    </row>
    <row r="191" spans="1:31" x14ac:dyDescent="0.5">
      <c r="A191" s="3">
        <v>56</v>
      </c>
      <c r="B191" s="3">
        <v>43</v>
      </c>
      <c r="C191" s="3">
        <v>994</v>
      </c>
      <c r="D191" s="3">
        <v>4</v>
      </c>
      <c r="E191" s="3">
        <v>260</v>
      </c>
      <c r="F191" s="3">
        <v>451</v>
      </c>
      <c r="G191" s="3">
        <v>476</v>
      </c>
      <c r="H191" s="16">
        <f t="shared" si="8"/>
        <v>0.47887323943661969</v>
      </c>
      <c r="I191" s="3">
        <v>950</v>
      </c>
      <c r="J191" s="3">
        <v>1</v>
      </c>
      <c r="K191" s="3">
        <v>0</v>
      </c>
      <c r="L191" s="3">
        <v>1</v>
      </c>
      <c r="M191" s="3">
        <v>0</v>
      </c>
      <c r="N191" s="3">
        <v>0</v>
      </c>
      <c r="O191" s="3">
        <v>0</v>
      </c>
      <c r="P191" s="3">
        <v>0</v>
      </c>
      <c r="Q191" s="3">
        <v>1</v>
      </c>
      <c r="R191" s="3">
        <v>2</v>
      </c>
      <c r="S191" s="3">
        <v>0</v>
      </c>
      <c r="T191" s="3">
        <v>1</v>
      </c>
      <c r="U191" s="3">
        <v>2</v>
      </c>
      <c r="V191" s="3">
        <v>0</v>
      </c>
      <c r="W191" s="3">
        <v>0</v>
      </c>
      <c r="X191" s="3">
        <v>2</v>
      </c>
      <c r="Y191" s="3">
        <v>306</v>
      </c>
      <c r="Z191" s="3">
        <v>76</v>
      </c>
      <c r="AA191" s="3">
        <v>78</v>
      </c>
      <c r="AB191" s="3">
        <v>0</v>
      </c>
      <c r="AC191" s="3">
        <f t="shared" si="9"/>
        <v>470</v>
      </c>
      <c r="AD191" s="3">
        <v>6</v>
      </c>
      <c r="AE191" s="16">
        <f t="shared" si="10"/>
        <v>1.2605042016806723E-2</v>
      </c>
    </row>
    <row r="192" spans="1:31" x14ac:dyDescent="0.5">
      <c r="A192" s="3">
        <v>56</v>
      </c>
      <c r="B192" s="3">
        <v>44</v>
      </c>
      <c r="C192" s="3">
        <v>566</v>
      </c>
      <c r="D192" s="3">
        <v>2</v>
      </c>
      <c r="E192" s="3">
        <v>142</v>
      </c>
      <c r="F192" s="3">
        <v>271</v>
      </c>
      <c r="G192" s="3">
        <v>309</v>
      </c>
      <c r="H192" s="16">
        <f t="shared" si="8"/>
        <v>0.54593639575971731</v>
      </c>
      <c r="I192" s="3">
        <v>550</v>
      </c>
      <c r="J192" s="3">
        <v>0</v>
      </c>
      <c r="K192" s="3">
        <v>0</v>
      </c>
      <c r="L192" s="3">
        <v>1</v>
      </c>
      <c r="M192" s="3">
        <v>0</v>
      </c>
      <c r="N192" s="3">
        <v>0</v>
      </c>
      <c r="O192" s="3">
        <v>0</v>
      </c>
      <c r="P192" s="3">
        <v>0</v>
      </c>
      <c r="Q192" s="3">
        <v>2</v>
      </c>
      <c r="R192" s="3">
        <v>0</v>
      </c>
      <c r="S192" s="3">
        <v>0</v>
      </c>
      <c r="T192" s="3">
        <v>0</v>
      </c>
      <c r="U192" s="3">
        <v>1</v>
      </c>
      <c r="V192" s="3">
        <v>0</v>
      </c>
      <c r="W192" s="3">
        <v>1</v>
      </c>
      <c r="X192" s="3">
        <v>0</v>
      </c>
      <c r="Y192" s="3">
        <v>204</v>
      </c>
      <c r="Z192" s="3">
        <v>28</v>
      </c>
      <c r="AA192" s="3">
        <v>65</v>
      </c>
      <c r="AB192" s="3">
        <v>0</v>
      </c>
      <c r="AC192" s="3">
        <f t="shared" si="9"/>
        <v>302</v>
      </c>
      <c r="AD192" s="3">
        <v>7</v>
      </c>
      <c r="AE192" s="16">
        <f t="shared" si="10"/>
        <v>2.2653721682847898E-2</v>
      </c>
    </row>
    <row r="193" spans="1:31" x14ac:dyDescent="0.5">
      <c r="A193" s="3">
        <v>56</v>
      </c>
      <c r="B193" s="3">
        <v>45</v>
      </c>
      <c r="C193" s="3">
        <v>371</v>
      </c>
      <c r="D193" s="3">
        <v>1</v>
      </c>
      <c r="E193" s="3">
        <v>60</v>
      </c>
      <c r="F193" s="3">
        <v>183</v>
      </c>
      <c r="G193" s="3">
        <v>194</v>
      </c>
      <c r="H193" s="16">
        <f t="shared" si="8"/>
        <v>0.52291105121293802</v>
      </c>
      <c r="I193" s="3">
        <v>400</v>
      </c>
      <c r="J193" s="3">
        <v>2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2</v>
      </c>
      <c r="X193" s="3">
        <v>1</v>
      </c>
      <c r="Y193" s="3">
        <v>112</v>
      </c>
      <c r="Z193" s="3">
        <v>51</v>
      </c>
      <c r="AA193" s="3">
        <v>22</v>
      </c>
      <c r="AB193" s="3">
        <v>0</v>
      </c>
      <c r="AC193" s="3">
        <f t="shared" si="9"/>
        <v>190</v>
      </c>
      <c r="AD193" s="3">
        <v>4</v>
      </c>
      <c r="AE193" s="16">
        <f t="shared" si="10"/>
        <v>2.0618556701030927E-2</v>
      </c>
    </row>
    <row r="194" spans="1:31" x14ac:dyDescent="0.5">
      <c r="A194" s="3">
        <v>56</v>
      </c>
      <c r="B194" s="3">
        <v>46</v>
      </c>
      <c r="C194" s="3">
        <v>800</v>
      </c>
      <c r="D194" s="3">
        <v>8</v>
      </c>
      <c r="E194" s="3">
        <v>119</v>
      </c>
      <c r="F194" s="3">
        <v>263</v>
      </c>
      <c r="G194" s="3">
        <v>318</v>
      </c>
      <c r="H194" s="16">
        <f t="shared" si="8"/>
        <v>0.39750000000000002</v>
      </c>
      <c r="I194" s="3">
        <v>750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2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1</v>
      </c>
      <c r="Y194" s="3">
        <v>198</v>
      </c>
      <c r="Z194" s="3">
        <v>62</v>
      </c>
      <c r="AA194" s="3">
        <v>45</v>
      </c>
      <c r="AB194" s="3">
        <v>0</v>
      </c>
      <c r="AC194" s="3">
        <f t="shared" si="9"/>
        <v>308</v>
      </c>
      <c r="AD194" s="3">
        <v>10</v>
      </c>
      <c r="AE194" s="16">
        <f t="shared" si="10"/>
        <v>3.1446540880503145E-2</v>
      </c>
    </row>
    <row r="195" spans="1:31" x14ac:dyDescent="0.5">
      <c r="A195" s="3">
        <v>56</v>
      </c>
      <c r="B195" s="3">
        <v>47</v>
      </c>
      <c r="C195" s="3">
        <v>939</v>
      </c>
      <c r="D195" s="3">
        <v>7</v>
      </c>
      <c r="E195" s="3">
        <v>124</v>
      </c>
      <c r="F195" s="3">
        <v>265</v>
      </c>
      <c r="G195" s="3">
        <v>309</v>
      </c>
      <c r="H195" s="16">
        <f t="shared" si="8"/>
        <v>0.32907348242811502</v>
      </c>
      <c r="I195" s="3">
        <v>850</v>
      </c>
      <c r="J195" s="3">
        <v>0</v>
      </c>
      <c r="K195" s="3">
        <v>0</v>
      </c>
      <c r="L195" s="3">
        <v>1</v>
      </c>
      <c r="M195" s="3">
        <v>0</v>
      </c>
      <c r="N195" s="3">
        <v>0</v>
      </c>
      <c r="O195" s="3">
        <v>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1</v>
      </c>
      <c r="W195" s="3">
        <v>0</v>
      </c>
      <c r="X195" s="3">
        <v>0</v>
      </c>
      <c r="Y195" s="3">
        <v>221</v>
      </c>
      <c r="Z195" s="3">
        <v>39</v>
      </c>
      <c r="AA195" s="3">
        <v>37</v>
      </c>
      <c r="AB195" s="3">
        <v>0</v>
      </c>
      <c r="AC195" s="3">
        <f t="shared" si="9"/>
        <v>300</v>
      </c>
      <c r="AD195" s="3">
        <v>9</v>
      </c>
      <c r="AE195" s="16">
        <f t="shared" si="10"/>
        <v>2.9126213592233011E-2</v>
      </c>
    </row>
    <row r="196" spans="1:31" x14ac:dyDescent="0.5">
      <c r="A196" s="3">
        <v>56</v>
      </c>
      <c r="B196" s="3">
        <v>48</v>
      </c>
      <c r="C196" s="3">
        <v>555</v>
      </c>
      <c r="D196" s="3">
        <v>10</v>
      </c>
      <c r="E196" s="3">
        <v>79</v>
      </c>
      <c r="F196" s="3">
        <v>154</v>
      </c>
      <c r="G196" s="3">
        <v>191</v>
      </c>
      <c r="H196" s="16">
        <f t="shared" si="8"/>
        <v>0.34414414414414413</v>
      </c>
      <c r="I196" s="3">
        <v>500</v>
      </c>
      <c r="J196" s="3">
        <v>0</v>
      </c>
      <c r="K196" s="3">
        <v>0</v>
      </c>
      <c r="L196" s="3">
        <v>1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2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130</v>
      </c>
      <c r="Z196" s="3">
        <v>33</v>
      </c>
      <c r="AA196" s="3">
        <v>22</v>
      </c>
      <c r="AB196" s="3">
        <v>0</v>
      </c>
      <c r="AC196" s="3">
        <f t="shared" si="9"/>
        <v>188</v>
      </c>
      <c r="AD196" s="3">
        <v>3</v>
      </c>
      <c r="AE196" s="16">
        <f t="shared" si="10"/>
        <v>1.5706806282722512E-2</v>
      </c>
    </row>
    <row r="197" spans="1:31" x14ac:dyDescent="0.5">
      <c r="A197" s="3">
        <v>56</v>
      </c>
      <c r="B197" s="3">
        <v>49</v>
      </c>
      <c r="C197" s="3">
        <v>791</v>
      </c>
      <c r="D197" s="3">
        <v>3</v>
      </c>
      <c r="E197" s="3">
        <v>148</v>
      </c>
      <c r="F197" s="3">
        <v>324</v>
      </c>
      <c r="G197" s="3">
        <v>405</v>
      </c>
      <c r="H197" s="16">
        <f t="shared" ref="H197:H261" si="13">G197/C197</f>
        <v>0.51201011378002526</v>
      </c>
      <c r="I197" s="3">
        <v>750</v>
      </c>
      <c r="J197" s="3">
        <v>1</v>
      </c>
      <c r="K197" s="3">
        <v>0</v>
      </c>
      <c r="L197" s="3">
        <v>8</v>
      </c>
      <c r="M197" s="3">
        <v>0</v>
      </c>
      <c r="N197" s="3">
        <v>0</v>
      </c>
      <c r="O197" s="3">
        <v>2</v>
      </c>
      <c r="P197" s="3">
        <v>0</v>
      </c>
      <c r="Q197" s="3">
        <v>1</v>
      </c>
      <c r="R197" s="3">
        <v>1</v>
      </c>
      <c r="S197" s="3">
        <v>0</v>
      </c>
      <c r="T197" s="3">
        <v>1</v>
      </c>
      <c r="U197" s="3">
        <v>3</v>
      </c>
      <c r="V197" s="3">
        <v>0</v>
      </c>
      <c r="W197" s="3">
        <v>0</v>
      </c>
      <c r="X197" s="3">
        <v>1</v>
      </c>
      <c r="Y197" s="3">
        <v>266</v>
      </c>
      <c r="Z197" s="3">
        <v>40</v>
      </c>
      <c r="AA197" s="3">
        <v>72</v>
      </c>
      <c r="AB197" s="3">
        <v>0</v>
      </c>
      <c r="AC197" s="3">
        <f t="shared" ref="AC197:AC261" si="14">SUM(J197:AB197)</f>
        <v>396</v>
      </c>
      <c r="AD197" s="3">
        <v>9</v>
      </c>
      <c r="AE197" s="16">
        <f t="shared" ref="AE197:AE261" si="15">AD197/(AC197+AD197)</f>
        <v>2.2222222222222223E-2</v>
      </c>
    </row>
    <row r="198" spans="1:31" x14ac:dyDescent="0.5">
      <c r="A198" s="3">
        <v>56</v>
      </c>
      <c r="B198" s="3">
        <v>50</v>
      </c>
      <c r="C198" s="3">
        <v>684</v>
      </c>
      <c r="D198" s="3">
        <v>4</v>
      </c>
      <c r="E198" s="3">
        <v>166</v>
      </c>
      <c r="F198" s="3">
        <v>292</v>
      </c>
      <c r="G198" s="3">
        <v>330</v>
      </c>
      <c r="H198" s="16">
        <f t="shared" si="13"/>
        <v>0.48245614035087719</v>
      </c>
      <c r="I198" s="3">
        <v>650</v>
      </c>
      <c r="J198" s="3">
        <v>1</v>
      </c>
      <c r="K198" s="3">
        <v>0</v>
      </c>
      <c r="L198" s="3">
        <v>2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2</v>
      </c>
      <c r="S198" s="3">
        <v>0</v>
      </c>
      <c r="T198" s="3">
        <v>3</v>
      </c>
      <c r="U198" s="3">
        <v>0</v>
      </c>
      <c r="V198" s="3">
        <v>0</v>
      </c>
      <c r="W198" s="3">
        <v>0</v>
      </c>
      <c r="X198" s="3">
        <v>0</v>
      </c>
      <c r="Y198" s="3">
        <v>196</v>
      </c>
      <c r="Z198" s="3">
        <v>52</v>
      </c>
      <c r="AA198" s="3">
        <v>71</v>
      </c>
      <c r="AB198" s="3">
        <v>0</v>
      </c>
      <c r="AC198" s="3">
        <f t="shared" si="14"/>
        <v>327</v>
      </c>
      <c r="AD198" s="3">
        <v>3</v>
      </c>
      <c r="AE198" s="16">
        <f t="shared" si="15"/>
        <v>9.0909090909090905E-3</v>
      </c>
    </row>
    <row r="199" spans="1:31" x14ac:dyDescent="0.5">
      <c r="A199" s="3">
        <v>56</v>
      </c>
      <c r="B199" s="3">
        <v>51</v>
      </c>
      <c r="C199" s="3">
        <v>609</v>
      </c>
      <c r="D199" s="3">
        <v>7</v>
      </c>
      <c r="E199" s="3">
        <v>107</v>
      </c>
      <c r="F199" s="3">
        <v>223</v>
      </c>
      <c r="G199" s="3">
        <v>259</v>
      </c>
      <c r="H199" s="16">
        <f t="shared" si="13"/>
        <v>0.42528735632183906</v>
      </c>
      <c r="I199" s="3">
        <v>550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1</v>
      </c>
      <c r="P199" s="3">
        <v>0</v>
      </c>
      <c r="Q199" s="3">
        <v>1</v>
      </c>
      <c r="R199" s="3">
        <v>1</v>
      </c>
      <c r="S199" s="3">
        <v>0</v>
      </c>
      <c r="T199" s="3">
        <v>0</v>
      </c>
      <c r="U199" s="3">
        <v>0</v>
      </c>
      <c r="V199" s="3">
        <v>1</v>
      </c>
      <c r="W199" s="3">
        <v>0</v>
      </c>
      <c r="X199" s="3">
        <v>1</v>
      </c>
      <c r="Y199" s="3">
        <v>142</v>
      </c>
      <c r="Z199" s="3">
        <v>28</v>
      </c>
      <c r="AA199" s="3">
        <v>81</v>
      </c>
      <c r="AB199" s="3">
        <v>0</v>
      </c>
      <c r="AC199" s="3">
        <f t="shared" si="14"/>
        <v>256</v>
      </c>
      <c r="AD199" s="3">
        <v>3</v>
      </c>
      <c r="AE199" s="16">
        <f t="shared" si="15"/>
        <v>1.1583011583011582E-2</v>
      </c>
    </row>
    <row r="200" spans="1:31" x14ac:dyDescent="0.5">
      <c r="A200" s="3">
        <v>56</v>
      </c>
      <c r="B200" s="3">
        <v>52</v>
      </c>
      <c r="C200" s="3">
        <v>533</v>
      </c>
      <c r="D200" s="3">
        <v>11</v>
      </c>
      <c r="E200" s="3">
        <v>116</v>
      </c>
      <c r="F200" s="3">
        <v>244</v>
      </c>
      <c r="G200" s="3">
        <v>273</v>
      </c>
      <c r="H200" s="16">
        <f t="shared" si="13"/>
        <v>0.51219512195121952</v>
      </c>
      <c r="I200" s="3">
        <v>500</v>
      </c>
      <c r="J200" s="3">
        <v>1</v>
      </c>
      <c r="K200" s="3">
        <v>0</v>
      </c>
      <c r="L200" s="3">
        <v>0</v>
      </c>
      <c r="M200" s="3">
        <v>0</v>
      </c>
      <c r="N200" s="3">
        <v>0</v>
      </c>
      <c r="O200" s="3">
        <v>2</v>
      </c>
      <c r="P200" s="3">
        <v>0</v>
      </c>
      <c r="Q200" s="3">
        <v>0</v>
      </c>
      <c r="R200" s="3">
        <v>1</v>
      </c>
      <c r="S200" s="3">
        <v>0</v>
      </c>
      <c r="T200" s="3">
        <v>0</v>
      </c>
      <c r="U200" s="3">
        <v>1</v>
      </c>
      <c r="V200" s="3">
        <v>2</v>
      </c>
      <c r="W200" s="3">
        <v>0</v>
      </c>
      <c r="X200" s="3">
        <v>0</v>
      </c>
      <c r="Y200" s="3">
        <v>219</v>
      </c>
      <c r="Z200" s="3">
        <v>22</v>
      </c>
      <c r="AA200" s="3">
        <v>21</v>
      </c>
      <c r="AB200" s="3">
        <v>0</v>
      </c>
      <c r="AC200" s="3">
        <f t="shared" si="14"/>
        <v>269</v>
      </c>
      <c r="AD200" s="3">
        <v>3</v>
      </c>
      <c r="AE200" s="16">
        <f t="shared" si="15"/>
        <v>1.1029411764705883E-2</v>
      </c>
    </row>
    <row r="201" spans="1:31" x14ac:dyDescent="0.5">
      <c r="A201" s="3">
        <v>56</v>
      </c>
      <c r="B201" s="3">
        <v>53</v>
      </c>
      <c r="C201" s="3">
        <v>264</v>
      </c>
      <c r="D201" s="3">
        <v>3</v>
      </c>
      <c r="E201" s="3">
        <v>82</v>
      </c>
      <c r="F201" s="3">
        <v>149</v>
      </c>
      <c r="G201" s="3">
        <v>171</v>
      </c>
      <c r="H201" s="16">
        <f t="shared" si="13"/>
        <v>0.64772727272727271</v>
      </c>
      <c r="I201" s="3">
        <v>300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112</v>
      </c>
      <c r="Z201" s="3">
        <v>23</v>
      </c>
      <c r="AA201" s="3">
        <v>30</v>
      </c>
      <c r="AB201" s="3">
        <v>0</v>
      </c>
      <c r="AC201" s="3">
        <f t="shared" si="14"/>
        <v>165</v>
      </c>
      <c r="AD201" s="3">
        <v>6</v>
      </c>
      <c r="AE201" s="16">
        <f t="shared" si="15"/>
        <v>3.5087719298245612E-2</v>
      </c>
    </row>
    <row r="202" spans="1:31" x14ac:dyDescent="0.5">
      <c r="A202" s="3">
        <v>56</v>
      </c>
      <c r="B202" s="3">
        <v>54</v>
      </c>
      <c r="C202" s="3">
        <v>536</v>
      </c>
      <c r="D202" s="3">
        <v>3</v>
      </c>
      <c r="E202" s="3">
        <v>104</v>
      </c>
      <c r="F202" s="3">
        <v>223</v>
      </c>
      <c r="G202" s="3">
        <v>256</v>
      </c>
      <c r="H202" s="16">
        <f t="shared" si="13"/>
        <v>0.47761194029850745</v>
      </c>
      <c r="I202" s="3">
        <v>500</v>
      </c>
      <c r="J202" s="3">
        <v>1</v>
      </c>
      <c r="K202" s="3">
        <v>0</v>
      </c>
      <c r="L202" s="3">
        <v>2</v>
      </c>
      <c r="M202" s="3">
        <v>0</v>
      </c>
      <c r="N202" s="3">
        <v>0</v>
      </c>
      <c r="O202" s="3">
        <v>0</v>
      </c>
      <c r="P202" s="3">
        <v>0</v>
      </c>
      <c r="Q202" s="3">
        <v>3</v>
      </c>
      <c r="R202" s="3">
        <v>1</v>
      </c>
      <c r="S202" s="3">
        <v>0</v>
      </c>
      <c r="T202" s="3">
        <v>0</v>
      </c>
      <c r="U202" s="3">
        <v>1</v>
      </c>
      <c r="V202" s="3">
        <v>0</v>
      </c>
      <c r="W202" s="3">
        <v>0</v>
      </c>
      <c r="X202" s="3">
        <v>0</v>
      </c>
      <c r="Y202" s="3">
        <v>120</v>
      </c>
      <c r="Z202" s="3">
        <v>70</v>
      </c>
      <c r="AA202" s="3">
        <v>52</v>
      </c>
      <c r="AB202" s="3">
        <v>0</v>
      </c>
      <c r="AC202" s="3">
        <f t="shared" si="14"/>
        <v>250</v>
      </c>
      <c r="AD202" s="3">
        <v>6</v>
      </c>
      <c r="AE202" s="16">
        <f t="shared" si="15"/>
        <v>2.34375E-2</v>
      </c>
    </row>
    <row r="203" spans="1:31" x14ac:dyDescent="0.5">
      <c r="A203" s="3">
        <v>56</v>
      </c>
      <c r="B203" s="3">
        <v>55</v>
      </c>
      <c r="C203" s="3">
        <v>359</v>
      </c>
      <c r="D203" s="3">
        <v>1</v>
      </c>
      <c r="E203" s="3">
        <v>100</v>
      </c>
      <c r="F203" s="3">
        <v>160</v>
      </c>
      <c r="G203" s="3">
        <v>189</v>
      </c>
      <c r="H203" s="16">
        <f t="shared" si="13"/>
        <v>0.52646239554317553</v>
      </c>
      <c r="I203" s="3">
        <v>350</v>
      </c>
      <c r="J203" s="3">
        <v>1</v>
      </c>
      <c r="K203" s="3">
        <v>0</v>
      </c>
      <c r="L203" s="3">
        <v>1</v>
      </c>
      <c r="M203" s="3">
        <v>0</v>
      </c>
      <c r="N203" s="3">
        <v>0</v>
      </c>
      <c r="O203" s="3">
        <v>0</v>
      </c>
      <c r="P203" s="3">
        <v>0</v>
      </c>
      <c r="Q203" s="3">
        <v>1</v>
      </c>
      <c r="R203" s="3">
        <v>0</v>
      </c>
      <c r="S203" s="3">
        <v>0</v>
      </c>
      <c r="T203" s="3">
        <v>0</v>
      </c>
      <c r="U203" s="3">
        <v>0</v>
      </c>
      <c r="V203" s="3">
        <v>1</v>
      </c>
      <c r="W203" s="3">
        <v>0</v>
      </c>
      <c r="X203" s="3">
        <v>0</v>
      </c>
      <c r="Y203" s="3">
        <v>112</v>
      </c>
      <c r="Z203" s="3">
        <v>27</v>
      </c>
      <c r="AA203" s="3">
        <v>45</v>
      </c>
      <c r="AB203" s="3">
        <v>0</v>
      </c>
      <c r="AC203" s="3">
        <f t="shared" si="14"/>
        <v>188</v>
      </c>
      <c r="AD203" s="3">
        <v>1</v>
      </c>
      <c r="AE203" s="16">
        <f t="shared" si="15"/>
        <v>5.2910052910052907E-3</v>
      </c>
    </row>
    <row r="204" spans="1:31" x14ac:dyDescent="0.5">
      <c r="A204" s="3">
        <v>56</v>
      </c>
      <c r="B204" s="3">
        <v>56</v>
      </c>
      <c r="C204" s="3">
        <v>158</v>
      </c>
      <c r="D204" s="3">
        <v>2</v>
      </c>
      <c r="E204" s="3">
        <v>35</v>
      </c>
      <c r="F204" s="3">
        <v>77</v>
      </c>
      <c r="G204" s="3">
        <v>92</v>
      </c>
      <c r="H204" s="16">
        <f t="shared" si="13"/>
        <v>0.58227848101265822</v>
      </c>
      <c r="I204" s="3">
        <v>200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1</v>
      </c>
      <c r="W204" s="3">
        <v>0</v>
      </c>
      <c r="X204" s="3">
        <v>1</v>
      </c>
      <c r="Y204" s="3">
        <v>71</v>
      </c>
      <c r="Z204" s="3">
        <v>11</v>
      </c>
      <c r="AA204" s="3">
        <v>8</v>
      </c>
      <c r="AB204" s="3">
        <v>0</v>
      </c>
      <c r="AC204" s="3">
        <f t="shared" si="14"/>
        <v>92</v>
      </c>
      <c r="AD204" s="3">
        <v>0</v>
      </c>
      <c r="AE204" s="16">
        <f t="shared" si="15"/>
        <v>0</v>
      </c>
    </row>
    <row r="205" spans="1:31" x14ac:dyDescent="0.5">
      <c r="A205" s="3">
        <v>56</v>
      </c>
      <c r="B205" s="3">
        <v>57</v>
      </c>
      <c r="C205" s="3">
        <v>641</v>
      </c>
      <c r="D205" s="3">
        <v>4</v>
      </c>
      <c r="E205" s="3">
        <v>115</v>
      </c>
      <c r="F205" s="3">
        <v>238</v>
      </c>
      <c r="G205" s="3">
        <v>269</v>
      </c>
      <c r="H205" s="16">
        <f t="shared" si="13"/>
        <v>0.41965678627145087</v>
      </c>
      <c r="I205" s="3">
        <v>600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1</v>
      </c>
      <c r="U205" s="3">
        <v>1</v>
      </c>
      <c r="V205" s="3">
        <v>1</v>
      </c>
      <c r="W205" s="3">
        <v>0</v>
      </c>
      <c r="X205" s="3">
        <v>0</v>
      </c>
      <c r="Y205" s="3">
        <v>165</v>
      </c>
      <c r="Z205" s="3">
        <v>65</v>
      </c>
      <c r="AA205" s="3">
        <v>28</v>
      </c>
      <c r="AB205" s="3">
        <v>0</v>
      </c>
      <c r="AC205" s="3">
        <f t="shared" si="14"/>
        <v>261</v>
      </c>
      <c r="AD205" s="3">
        <v>8</v>
      </c>
      <c r="AE205" s="16">
        <f t="shared" si="15"/>
        <v>2.9739776951672861E-2</v>
      </c>
    </row>
    <row r="206" spans="1:31" x14ac:dyDescent="0.5">
      <c r="A206" s="3">
        <v>56</v>
      </c>
      <c r="B206" s="3">
        <v>58</v>
      </c>
      <c r="C206" s="3">
        <v>699</v>
      </c>
      <c r="D206" s="3">
        <v>8</v>
      </c>
      <c r="E206" s="3">
        <v>133</v>
      </c>
      <c r="F206" s="3">
        <v>251</v>
      </c>
      <c r="G206" s="3">
        <v>287</v>
      </c>
      <c r="H206" s="16">
        <f t="shared" si="13"/>
        <v>0.41058655221745349</v>
      </c>
      <c r="I206" s="3">
        <v>650</v>
      </c>
      <c r="J206" s="3">
        <v>2</v>
      </c>
      <c r="K206" s="3">
        <v>0</v>
      </c>
      <c r="L206" s="3">
        <v>0</v>
      </c>
      <c r="M206" s="3">
        <v>0</v>
      </c>
      <c r="N206" s="3">
        <v>0</v>
      </c>
      <c r="O206" s="3">
        <v>1</v>
      </c>
      <c r="P206" s="3">
        <v>0</v>
      </c>
      <c r="Q206" s="3">
        <v>1</v>
      </c>
      <c r="R206" s="3">
        <v>2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198</v>
      </c>
      <c r="Z206" s="3">
        <v>56</v>
      </c>
      <c r="AA206" s="3">
        <v>23</v>
      </c>
      <c r="AB206" s="3">
        <v>0</v>
      </c>
      <c r="AC206" s="3">
        <f t="shared" si="14"/>
        <v>283</v>
      </c>
      <c r="AD206" s="3">
        <v>4</v>
      </c>
      <c r="AE206" s="16">
        <f t="shared" si="15"/>
        <v>1.3937282229965157E-2</v>
      </c>
    </row>
    <row r="207" spans="1:31" s="5" customFormat="1" x14ac:dyDescent="0.5">
      <c r="A207" s="8">
        <v>56</v>
      </c>
      <c r="B207" s="8" t="s">
        <v>0</v>
      </c>
      <c r="C207" s="8">
        <f>SUM(C149:C206)</f>
        <v>42896</v>
      </c>
      <c r="D207" s="8">
        <f>SUM(D149:D206)</f>
        <v>242</v>
      </c>
      <c r="E207" s="8">
        <f t="shared" ref="E207:AD207" si="16">SUM(E149:E206)</f>
        <v>7607</v>
      </c>
      <c r="F207" s="8">
        <f t="shared" si="16"/>
        <v>15949</v>
      </c>
      <c r="G207" s="8">
        <f t="shared" si="16"/>
        <v>18625</v>
      </c>
      <c r="H207" s="20">
        <f>G207/C207</f>
        <v>0.43418966803431558</v>
      </c>
      <c r="I207" s="8">
        <f t="shared" si="16"/>
        <v>40950</v>
      </c>
      <c r="J207" s="8">
        <f t="shared" si="16"/>
        <v>37</v>
      </c>
      <c r="K207" s="8">
        <f t="shared" si="16"/>
        <v>0</v>
      </c>
      <c r="L207" s="8">
        <f t="shared" si="16"/>
        <v>81</v>
      </c>
      <c r="M207" s="8">
        <f t="shared" si="16"/>
        <v>0</v>
      </c>
      <c r="N207" s="8">
        <f t="shared" si="16"/>
        <v>0</v>
      </c>
      <c r="O207" s="8">
        <f t="shared" si="16"/>
        <v>39</v>
      </c>
      <c r="P207" s="8">
        <f t="shared" si="16"/>
        <v>0</v>
      </c>
      <c r="Q207" s="8">
        <f t="shared" si="16"/>
        <v>57</v>
      </c>
      <c r="R207" s="8">
        <f t="shared" si="16"/>
        <v>54</v>
      </c>
      <c r="S207" s="8">
        <f t="shared" si="16"/>
        <v>0</v>
      </c>
      <c r="T207" s="8">
        <f t="shared" si="16"/>
        <v>25</v>
      </c>
      <c r="U207" s="8">
        <f t="shared" si="16"/>
        <v>32</v>
      </c>
      <c r="V207" s="8">
        <f t="shared" si="16"/>
        <v>28</v>
      </c>
      <c r="W207" s="8">
        <f t="shared" si="16"/>
        <v>20</v>
      </c>
      <c r="X207" s="8">
        <f t="shared" si="16"/>
        <v>23</v>
      </c>
      <c r="Y207" s="8">
        <f t="shared" si="16"/>
        <v>11721</v>
      </c>
      <c r="Z207" s="8">
        <f t="shared" si="16"/>
        <v>3265</v>
      </c>
      <c r="AA207" s="8">
        <f t="shared" si="16"/>
        <v>2770</v>
      </c>
      <c r="AB207" s="8">
        <f t="shared" si="16"/>
        <v>0</v>
      </c>
      <c r="AC207" s="8">
        <f t="shared" si="16"/>
        <v>18152</v>
      </c>
      <c r="AD207" s="8">
        <f t="shared" si="16"/>
        <v>469</v>
      </c>
      <c r="AE207" s="20">
        <f t="shared" si="15"/>
        <v>2.5186617260082703E-2</v>
      </c>
    </row>
    <row r="208" spans="1:31" s="5" customFormat="1" x14ac:dyDescent="0.5">
      <c r="A208" s="8"/>
      <c r="B208" s="8"/>
      <c r="C208" s="8"/>
      <c r="D208" s="8"/>
      <c r="E208" s="8"/>
      <c r="F208" s="8"/>
      <c r="G208" s="8"/>
      <c r="H208" s="8"/>
      <c r="I208" s="8"/>
      <c r="J208" s="20">
        <f>J207/$AC$207</f>
        <v>2.0383428823270164E-3</v>
      </c>
      <c r="K208" s="20">
        <f t="shared" ref="K208:AB208" si="17">K207/$AC$207</f>
        <v>0</v>
      </c>
      <c r="L208" s="20">
        <f t="shared" si="17"/>
        <v>4.4623182018510357E-3</v>
      </c>
      <c r="M208" s="20">
        <f t="shared" si="17"/>
        <v>0</v>
      </c>
      <c r="N208" s="20">
        <f t="shared" si="17"/>
        <v>0</v>
      </c>
      <c r="O208" s="20">
        <f t="shared" si="17"/>
        <v>2.1485235786690171E-3</v>
      </c>
      <c r="P208" s="20">
        <f t="shared" si="17"/>
        <v>0</v>
      </c>
      <c r="Q208" s="20">
        <f t="shared" si="17"/>
        <v>3.140149845747025E-3</v>
      </c>
      <c r="R208" s="20">
        <f t="shared" si="17"/>
        <v>2.9748788012340238E-3</v>
      </c>
      <c r="S208" s="20">
        <f t="shared" si="17"/>
        <v>0</v>
      </c>
      <c r="T208" s="20">
        <f t="shared" si="17"/>
        <v>1.3772587042750111E-3</v>
      </c>
      <c r="U208" s="20">
        <f t="shared" si="17"/>
        <v>1.7628911414720142E-3</v>
      </c>
      <c r="V208" s="20">
        <f t="shared" si="17"/>
        <v>1.5425297487880124E-3</v>
      </c>
      <c r="W208" s="20">
        <f t="shared" si="17"/>
        <v>1.1018069634200088E-3</v>
      </c>
      <c r="X208" s="20">
        <f t="shared" si="17"/>
        <v>1.2670780079330102E-3</v>
      </c>
      <c r="Y208" s="20">
        <f t="shared" si="17"/>
        <v>0.64571397091229621</v>
      </c>
      <c r="Z208" s="20">
        <f t="shared" si="17"/>
        <v>0.17986998677831645</v>
      </c>
      <c r="AA208" s="20">
        <f t="shared" si="17"/>
        <v>0.15260026443367122</v>
      </c>
      <c r="AB208" s="20">
        <f t="shared" si="17"/>
        <v>0</v>
      </c>
      <c r="AC208" s="20"/>
      <c r="AD208" s="8"/>
      <c r="AE208" s="8"/>
    </row>
    <row r="209" spans="1:31" x14ac:dyDescent="0.5">
      <c r="A209" s="3">
        <v>67</v>
      </c>
      <c r="B209" s="3">
        <v>1</v>
      </c>
      <c r="C209" s="3">
        <v>830</v>
      </c>
      <c r="D209" s="3">
        <v>7</v>
      </c>
      <c r="E209" s="3">
        <v>192</v>
      </c>
      <c r="F209" s="3">
        <v>350</v>
      </c>
      <c r="G209" s="3">
        <v>413</v>
      </c>
      <c r="H209" s="16">
        <f t="shared" si="13"/>
        <v>0.49759036144578311</v>
      </c>
      <c r="I209" s="3">
        <v>750</v>
      </c>
      <c r="J209" s="3">
        <v>0</v>
      </c>
      <c r="K209" s="3">
        <v>0</v>
      </c>
      <c r="L209" s="3">
        <v>0</v>
      </c>
      <c r="M209" s="3">
        <v>123</v>
      </c>
      <c r="N209" s="3">
        <v>1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272</v>
      </c>
      <c r="Z209" s="3">
        <v>2</v>
      </c>
      <c r="AA209" s="3">
        <v>6</v>
      </c>
      <c r="AB209" s="3">
        <v>1</v>
      </c>
      <c r="AC209" s="3">
        <f t="shared" si="14"/>
        <v>405</v>
      </c>
      <c r="AD209" s="3">
        <v>8</v>
      </c>
      <c r="AE209" s="16">
        <f t="shared" si="15"/>
        <v>1.9370460048426151E-2</v>
      </c>
    </row>
    <row r="210" spans="1:31" x14ac:dyDescent="0.5">
      <c r="A210" s="3">
        <v>67</v>
      </c>
      <c r="B210" s="3">
        <v>2</v>
      </c>
      <c r="C210" s="3">
        <v>1325</v>
      </c>
      <c r="D210" s="3">
        <v>9</v>
      </c>
      <c r="E210" s="3">
        <v>231</v>
      </c>
      <c r="F210" s="3">
        <v>489</v>
      </c>
      <c r="G210" s="3">
        <v>564</v>
      </c>
      <c r="H210" s="16">
        <f t="shared" si="13"/>
        <v>0.42566037735849055</v>
      </c>
      <c r="I210" s="3">
        <v>1200</v>
      </c>
      <c r="J210" s="3">
        <v>0</v>
      </c>
      <c r="K210" s="3">
        <v>0</v>
      </c>
      <c r="L210" s="3">
        <v>0</v>
      </c>
      <c r="M210" s="3">
        <v>240</v>
      </c>
      <c r="N210" s="3">
        <v>2</v>
      </c>
      <c r="O210" s="3">
        <v>0</v>
      </c>
      <c r="P210" s="3">
        <v>0</v>
      </c>
      <c r="Q210" s="3">
        <v>1</v>
      </c>
      <c r="R210" s="3">
        <v>0</v>
      </c>
      <c r="S210" s="3">
        <v>0</v>
      </c>
      <c r="T210" s="3">
        <v>1</v>
      </c>
      <c r="U210" s="3">
        <v>0</v>
      </c>
      <c r="V210" s="3">
        <v>0</v>
      </c>
      <c r="W210" s="3">
        <v>0</v>
      </c>
      <c r="X210" s="3">
        <v>0</v>
      </c>
      <c r="Y210" s="3">
        <v>300</v>
      </c>
      <c r="Z210" s="3">
        <v>7</v>
      </c>
      <c r="AA210" s="3">
        <v>0</v>
      </c>
      <c r="AB210" s="3">
        <v>1</v>
      </c>
      <c r="AC210" s="3">
        <f t="shared" si="14"/>
        <v>552</v>
      </c>
      <c r="AD210" s="3">
        <v>12</v>
      </c>
      <c r="AE210" s="16">
        <f t="shared" si="15"/>
        <v>2.1276595744680851E-2</v>
      </c>
    </row>
    <row r="211" spans="1:31" x14ac:dyDescent="0.5">
      <c r="A211" s="3">
        <v>67</v>
      </c>
      <c r="B211" s="3">
        <v>3</v>
      </c>
      <c r="C211" s="3">
        <v>1713</v>
      </c>
      <c r="D211" s="3">
        <v>6</v>
      </c>
      <c r="E211" s="3">
        <v>279</v>
      </c>
      <c r="F211" s="3">
        <v>533</v>
      </c>
      <c r="G211" s="3">
        <v>691</v>
      </c>
      <c r="H211" s="16">
        <f t="shared" si="13"/>
        <v>0.40338587273788673</v>
      </c>
      <c r="I211" s="3">
        <v>1500</v>
      </c>
      <c r="J211" s="3">
        <v>0</v>
      </c>
      <c r="K211" s="3">
        <v>0</v>
      </c>
      <c r="L211" s="3">
        <v>0</v>
      </c>
      <c r="M211" s="3">
        <v>303</v>
      </c>
      <c r="N211" s="3">
        <v>3</v>
      </c>
      <c r="O211" s="3">
        <v>1</v>
      </c>
      <c r="P211" s="3">
        <v>0</v>
      </c>
      <c r="Q211" s="3">
        <v>1</v>
      </c>
      <c r="R211" s="3">
        <v>0</v>
      </c>
      <c r="S211" s="3">
        <v>0</v>
      </c>
      <c r="T211" s="3">
        <v>1</v>
      </c>
      <c r="U211" s="3">
        <v>1</v>
      </c>
      <c r="V211" s="3">
        <v>0</v>
      </c>
      <c r="W211" s="3">
        <v>0</v>
      </c>
      <c r="X211" s="3">
        <v>0</v>
      </c>
      <c r="Y211" s="3">
        <v>363</v>
      </c>
      <c r="Z211" s="3">
        <v>4</v>
      </c>
      <c r="AA211" s="3">
        <v>2</v>
      </c>
      <c r="AB211" s="3">
        <v>3</v>
      </c>
      <c r="AC211" s="3">
        <f t="shared" si="14"/>
        <v>682</v>
      </c>
      <c r="AD211" s="3">
        <v>9</v>
      </c>
      <c r="AE211" s="16">
        <f t="shared" si="15"/>
        <v>1.3024602026049204E-2</v>
      </c>
    </row>
    <row r="212" spans="1:31" x14ac:dyDescent="0.5">
      <c r="A212" s="3">
        <v>67</v>
      </c>
      <c r="B212" s="3">
        <v>4</v>
      </c>
      <c r="C212" s="3">
        <v>1292</v>
      </c>
      <c r="D212" s="3">
        <v>8</v>
      </c>
      <c r="E212" s="3">
        <v>191</v>
      </c>
      <c r="F212" s="3">
        <v>507</v>
      </c>
      <c r="G212" s="3">
        <v>563</v>
      </c>
      <c r="H212" s="16">
        <f t="shared" si="13"/>
        <v>0.43575851393188852</v>
      </c>
      <c r="I212" s="3">
        <v>1200</v>
      </c>
      <c r="J212" s="3">
        <v>0</v>
      </c>
      <c r="K212" s="3">
        <v>0</v>
      </c>
      <c r="L212" s="3">
        <v>0</v>
      </c>
      <c r="M212" s="3">
        <v>249</v>
      </c>
      <c r="N212" s="3">
        <v>5</v>
      </c>
      <c r="O212" s="3">
        <v>3</v>
      </c>
      <c r="P212" s="3">
        <v>0</v>
      </c>
      <c r="Q212" s="3">
        <v>1</v>
      </c>
      <c r="R212" s="3">
        <v>0</v>
      </c>
      <c r="S212" s="3">
        <v>0</v>
      </c>
      <c r="T212" s="3">
        <v>0</v>
      </c>
      <c r="U212" s="3">
        <v>0</v>
      </c>
      <c r="V212" s="3">
        <v>1</v>
      </c>
      <c r="W212" s="3">
        <v>0</v>
      </c>
      <c r="X212" s="3">
        <v>0</v>
      </c>
      <c r="Y212" s="3">
        <v>284</v>
      </c>
      <c r="Z212" s="3">
        <v>12</v>
      </c>
      <c r="AA212" s="3">
        <v>0</v>
      </c>
      <c r="AB212" s="3">
        <v>0</v>
      </c>
      <c r="AC212" s="3">
        <f t="shared" si="14"/>
        <v>555</v>
      </c>
      <c r="AD212" s="3">
        <v>8</v>
      </c>
      <c r="AE212" s="16">
        <f t="shared" si="15"/>
        <v>1.4209591474245116E-2</v>
      </c>
    </row>
    <row r="213" spans="1:31" x14ac:dyDescent="0.5">
      <c r="A213" s="3">
        <v>67</v>
      </c>
      <c r="B213" s="3">
        <v>5</v>
      </c>
      <c r="C213" s="3">
        <v>1083</v>
      </c>
      <c r="D213" s="3">
        <v>8</v>
      </c>
      <c r="E213" s="3">
        <v>154</v>
      </c>
      <c r="F213" s="3">
        <v>333</v>
      </c>
      <c r="G213" s="3">
        <v>419</v>
      </c>
      <c r="H213" s="16">
        <f t="shared" si="13"/>
        <v>0.38688827331486614</v>
      </c>
      <c r="I213" s="3">
        <v>950</v>
      </c>
      <c r="J213" s="3">
        <v>0</v>
      </c>
      <c r="K213" s="3">
        <v>0</v>
      </c>
      <c r="L213" s="3">
        <v>1</v>
      </c>
      <c r="M213" s="3">
        <v>170</v>
      </c>
      <c r="N213" s="3">
        <v>4</v>
      </c>
      <c r="O213" s="3">
        <v>1</v>
      </c>
      <c r="P213" s="3">
        <v>0</v>
      </c>
      <c r="Q213" s="3">
        <v>2</v>
      </c>
      <c r="R213" s="3">
        <v>0</v>
      </c>
      <c r="S213" s="3">
        <v>0</v>
      </c>
      <c r="T213" s="3">
        <v>0</v>
      </c>
      <c r="U213" s="3">
        <v>1</v>
      </c>
      <c r="V213" s="3">
        <v>0</v>
      </c>
      <c r="W213" s="3">
        <v>0</v>
      </c>
      <c r="X213" s="3">
        <v>0</v>
      </c>
      <c r="Y213" s="3">
        <v>229</v>
      </c>
      <c r="Z213" s="3">
        <v>5</v>
      </c>
      <c r="AA213" s="3">
        <v>0</v>
      </c>
      <c r="AB213" s="3">
        <v>0</v>
      </c>
      <c r="AC213" s="3">
        <f t="shared" si="14"/>
        <v>413</v>
      </c>
      <c r="AD213" s="3">
        <v>6</v>
      </c>
      <c r="AE213" s="16">
        <f t="shared" si="15"/>
        <v>1.4319809069212411E-2</v>
      </c>
    </row>
    <row r="214" spans="1:31" x14ac:dyDescent="0.5">
      <c r="A214" s="3">
        <v>67</v>
      </c>
      <c r="B214" s="3">
        <v>6</v>
      </c>
      <c r="C214" s="3">
        <v>1431</v>
      </c>
      <c r="D214" s="3">
        <v>5</v>
      </c>
      <c r="E214" s="3">
        <v>287</v>
      </c>
      <c r="F214" s="3">
        <v>550</v>
      </c>
      <c r="G214" s="3">
        <v>701</v>
      </c>
      <c r="H214" s="16">
        <f t="shared" si="13"/>
        <v>0.48986722571628233</v>
      </c>
      <c r="I214" s="3">
        <v>1250</v>
      </c>
      <c r="J214" s="3">
        <v>0</v>
      </c>
      <c r="K214" s="3">
        <v>0</v>
      </c>
      <c r="L214" s="3">
        <v>1</v>
      </c>
      <c r="M214" s="3">
        <v>274</v>
      </c>
      <c r="N214" s="3">
        <v>4</v>
      </c>
      <c r="O214" s="3">
        <v>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1</v>
      </c>
      <c r="W214" s="3">
        <v>0</v>
      </c>
      <c r="X214" s="3">
        <v>1</v>
      </c>
      <c r="Y214" s="3">
        <v>400</v>
      </c>
      <c r="Z214" s="3">
        <v>9</v>
      </c>
      <c r="AA214" s="3">
        <v>0</v>
      </c>
      <c r="AB214" s="3">
        <v>1</v>
      </c>
      <c r="AC214" s="3">
        <f t="shared" si="14"/>
        <v>692</v>
      </c>
      <c r="AD214" s="3">
        <v>9</v>
      </c>
      <c r="AE214" s="16">
        <f t="shared" si="15"/>
        <v>1.2838801711840228E-2</v>
      </c>
    </row>
    <row r="215" spans="1:31" x14ac:dyDescent="0.5">
      <c r="A215" s="3">
        <v>67</v>
      </c>
      <c r="B215" s="3">
        <v>7</v>
      </c>
      <c r="C215" s="3">
        <v>885</v>
      </c>
      <c r="D215" s="3">
        <v>7</v>
      </c>
      <c r="E215" s="3">
        <v>188</v>
      </c>
      <c r="F215" s="3">
        <v>360</v>
      </c>
      <c r="G215" s="3">
        <v>451</v>
      </c>
      <c r="H215" s="16">
        <f t="shared" si="13"/>
        <v>0.50960451977401133</v>
      </c>
      <c r="I215" s="3">
        <v>800</v>
      </c>
      <c r="J215" s="3">
        <v>0</v>
      </c>
      <c r="K215" s="3">
        <v>0</v>
      </c>
      <c r="L215" s="3">
        <v>0</v>
      </c>
      <c r="M215" s="3">
        <v>145</v>
      </c>
      <c r="N215" s="3">
        <v>1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1</v>
      </c>
      <c r="U215" s="3">
        <v>1</v>
      </c>
      <c r="V215" s="3">
        <v>0</v>
      </c>
      <c r="W215" s="3">
        <v>0</v>
      </c>
      <c r="X215" s="3">
        <v>0</v>
      </c>
      <c r="Y215" s="3">
        <v>292</v>
      </c>
      <c r="Z215" s="3">
        <v>6</v>
      </c>
      <c r="AA215" s="3">
        <v>0</v>
      </c>
      <c r="AB215" s="3">
        <v>0</v>
      </c>
      <c r="AC215" s="3">
        <f t="shared" si="14"/>
        <v>446</v>
      </c>
      <c r="AD215" s="3">
        <v>5</v>
      </c>
      <c r="AE215" s="16">
        <f t="shared" si="15"/>
        <v>1.1086474501108648E-2</v>
      </c>
    </row>
    <row r="216" spans="1:31" x14ac:dyDescent="0.5">
      <c r="A216" s="3">
        <v>67</v>
      </c>
      <c r="B216" s="3">
        <v>8</v>
      </c>
      <c r="C216" s="3">
        <v>1463</v>
      </c>
      <c r="D216" s="3">
        <v>5</v>
      </c>
      <c r="E216" s="3">
        <v>307</v>
      </c>
      <c r="F216" s="3">
        <v>565</v>
      </c>
      <c r="G216" s="3">
        <v>687</v>
      </c>
      <c r="H216" s="16">
        <f t="shared" si="13"/>
        <v>0.46958304853041694</v>
      </c>
      <c r="I216" s="3">
        <v>1300</v>
      </c>
      <c r="J216" s="3">
        <v>1</v>
      </c>
      <c r="K216" s="3">
        <v>0</v>
      </c>
      <c r="L216" s="3">
        <v>0</v>
      </c>
      <c r="M216" s="3">
        <v>252</v>
      </c>
      <c r="N216" s="3">
        <v>3</v>
      </c>
      <c r="O216" s="3">
        <v>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1</v>
      </c>
      <c r="X216" s="3">
        <v>0</v>
      </c>
      <c r="Y216" s="3">
        <v>374</v>
      </c>
      <c r="Z216" s="3">
        <v>45</v>
      </c>
      <c r="AA216" s="3">
        <v>2</v>
      </c>
      <c r="AB216" s="3">
        <v>3</v>
      </c>
      <c r="AC216" s="3">
        <f t="shared" si="14"/>
        <v>683</v>
      </c>
      <c r="AD216" s="3">
        <v>4</v>
      </c>
      <c r="AE216" s="16">
        <f t="shared" si="15"/>
        <v>5.822416302765648E-3</v>
      </c>
    </row>
    <row r="217" spans="1:31" x14ac:dyDescent="0.5">
      <c r="A217" s="3">
        <v>67</v>
      </c>
      <c r="B217" s="3">
        <v>9</v>
      </c>
      <c r="C217" s="3">
        <v>1345</v>
      </c>
      <c r="D217" s="3">
        <v>7</v>
      </c>
      <c r="E217" s="3">
        <v>275</v>
      </c>
      <c r="F217" s="3">
        <v>485</v>
      </c>
      <c r="G217" s="3">
        <v>606</v>
      </c>
      <c r="H217" s="16">
        <f t="shared" si="13"/>
        <v>0.45055762081784384</v>
      </c>
      <c r="I217" s="3">
        <v>1200</v>
      </c>
      <c r="J217" s="3">
        <v>0</v>
      </c>
      <c r="K217" s="3">
        <v>0</v>
      </c>
      <c r="L217" s="3">
        <v>0</v>
      </c>
      <c r="M217" s="3">
        <v>184</v>
      </c>
      <c r="N217" s="3">
        <v>4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1</v>
      </c>
      <c r="X217" s="3">
        <v>0</v>
      </c>
      <c r="Y217" s="3">
        <v>331</v>
      </c>
      <c r="Z217" s="3">
        <v>10</v>
      </c>
      <c r="AA217" s="3">
        <v>4</v>
      </c>
      <c r="AB217" s="3">
        <v>1</v>
      </c>
      <c r="AC217" s="3">
        <f t="shared" si="14"/>
        <v>535</v>
      </c>
      <c r="AD217" s="3">
        <v>70</v>
      </c>
      <c r="AE217" s="16">
        <f t="shared" si="15"/>
        <v>0.11570247933884298</v>
      </c>
    </row>
    <row r="218" spans="1:31" x14ac:dyDescent="0.5">
      <c r="A218" s="3">
        <v>67</v>
      </c>
      <c r="B218" s="3">
        <v>10</v>
      </c>
      <c r="C218" s="3">
        <v>1430</v>
      </c>
      <c r="D218" s="3">
        <v>5</v>
      </c>
      <c r="E218" s="3">
        <v>240</v>
      </c>
      <c r="F218" s="3">
        <v>442</v>
      </c>
      <c r="G218" s="3">
        <v>573</v>
      </c>
      <c r="H218" s="16">
        <f t="shared" si="13"/>
        <v>0.40069930069930071</v>
      </c>
      <c r="I218" s="3">
        <v>1250</v>
      </c>
      <c r="J218" s="3">
        <v>0</v>
      </c>
      <c r="K218" s="3">
        <v>0</v>
      </c>
      <c r="L218" s="3">
        <v>0</v>
      </c>
      <c r="M218" s="3">
        <v>251</v>
      </c>
      <c r="N218" s="3">
        <v>4</v>
      </c>
      <c r="O218" s="3">
        <v>1</v>
      </c>
      <c r="P218" s="3">
        <v>0</v>
      </c>
      <c r="Q218" s="3">
        <v>2</v>
      </c>
      <c r="R218" s="3">
        <v>0</v>
      </c>
      <c r="S218" s="3">
        <v>0</v>
      </c>
      <c r="T218" s="3">
        <v>0</v>
      </c>
      <c r="U218" s="3">
        <v>1</v>
      </c>
      <c r="V218" s="3">
        <v>0</v>
      </c>
      <c r="W218" s="3">
        <v>0</v>
      </c>
      <c r="X218" s="3">
        <v>0</v>
      </c>
      <c r="Y218" s="3">
        <v>300</v>
      </c>
      <c r="Z218" s="3">
        <v>6</v>
      </c>
      <c r="AA218" s="3">
        <v>1</v>
      </c>
      <c r="AB218" s="3">
        <v>1</v>
      </c>
      <c r="AC218" s="3">
        <f t="shared" si="14"/>
        <v>567</v>
      </c>
      <c r="AD218" s="3">
        <v>6</v>
      </c>
      <c r="AE218" s="16">
        <f t="shared" si="15"/>
        <v>1.0471204188481676E-2</v>
      </c>
    </row>
    <row r="219" spans="1:31" x14ac:dyDescent="0.5">
      <c r="A219" s="3">
        <v>67</v>
      </c>
      <c r="B219" s="3">
        <v>11</v>
      </c>
      <c r="C219" s="3">
        <v>1507</v>
      </c>
      <c r="D219" s="3">
        <v>9</v>
      </c>
      <c r="E219" s="3">
        <v>315</v>
      </c>
      <c r="F219" s="3">
        <v>639</v>
      </c>
      <c r="G219" s="3">
        <v>730</v>
      </c>
      <c r="H219" s="16">
        <f t="shared" si="13"/>
        <v>0.48440610484406105</v>
      </c>
      <c r="I219" s="3">
        <v>1350</v>
      </c>
      <c r="J219" s="3">
        <v>0</v>
      </c>
      <c r="K219" s="3">
        <v>0</v>
      </c>
      <c r="L219" s="3">
        <v>2</v>
      </c>
      <c r="M219" s="3">
        <v>240</v>
      </c>
      <c r="N219" s="3">
        <v>7</v>
      </c>
      <c r="O219" s="3">
        <v>4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1</v>
      </c>
      <c r="X219" s="3">
        <v>0</v>
      </c>
      <c r="Y219" s="3">
        <v>443</v>
      </c>
      <c r="Z219" s="3">
        <v>13</v>
      </c>
      <c r="AA219" s="3">
        <v>7</v>
      </c>
      <c r="AB219" s="3">
        <v>4</v>
      </c>
      <c r="AC219" s="3">
        <f t="shared" si="14"/>
        <v>721</v>
      </c>
      <c r="AD219" s="3">
        <v>9</v>
      </c>
      <c r="AE219" s="16">
        <f t="shared" si="15"/>
        <v>1.2328767123287671E-2</v>
      </c>
    </row>
    <row r="220" spans="1:31" x14ac:dyDescent="0.5">
      <c r="A220" s="3">
        <v>67</v>
      </c>
      <c r="B220" s="3">
        <v>12</v>
      </c>
      <c r="C220" s="3">
        <v>1474</v>
      </c>
      <c r="D220" s="3">
        <v>8</v>
      </c>
      <c r="E220" s="3">
        <v>233</v>
      </c>
      <c r="F220" s="3">
        <v>523</v>
      </c>
      <c r="G220" s="3">
        <v>623</v>
      </c>
      <c r="H220" s="16">
        <f t="shared" si="13"/>
        <v>0.42265943012211671</v>
      </c>
      <c r="I220" s="3">
        <v>1300</v>
      </c>
      <c r="J220" s="3">
        <v>0</v>
      </c>
      <c r="K220" s="3">
        <v>0</v>
      </c>
      <c r="L220" s="3">
        <v>0</v>
      </c>
      <c r="M220" s="3">
        <v>287</v>
      </c>
      <c r="N220" s="3">
        <v>7</v>
      </c>
      <c r="O220" s="3">
        <v>4</v>
      </c>
      <c r="P220" s="3">
        <v>0</v>
      </c>
      <c r="Q220" s="3">
        <v>0</v>
      </c>
      <c r="R220" s="3">
        <v>1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309</v>
      </c>
      <c r="Z220" s="3">
        <v>4</v>
      </c>
      <c r="AA220" s="3">
        <v>1</v>
      </c>
      <c r="AB220" s="3">
        <v>0</v>
      </c>
      <c r="AC220" s="3">
        <f t="shared" si="14"/>
        <v>613</v>
      </c>
      <c r="AD220" s="3">
        <v>10</v>
      </c>
      <c r="AE220" s="16">
        <f t="shared" si="15"/>
        <v>1.6051364365971106E-2</v>
      </c>
    </row>
    <row r="221" spans="1:31" x14ac:dyDescent="0.5">
      <c r="A221" s="3">
        <v>67</v>
      </c>
      <c r="B221" s="3">
        <v>13</v>
      </c>
      <c r="C221" s="3">
        <v>1216</v>
      </c>
      <c r="D221" s="3">
        <v>0</v>
      </c>
      <c r="E221" s="3">
        <v>238</v>
      </c>
      <c r="F221" s="3">
        <v>446</v>
      </c>
      <c r="G221" s="3">
        <v>555</v>
      </c>
      <c r="H221" s="16">
        <f t="shared" si="13"/>
        <v>0.45641447368421051</v>
      </c>
      <c r="I221" s="3">
        <v>1150</v>
      </c>
      <c r="J221" s="3">
        <v>0</v>
      </c>
      <c r="K221" s="3">
        <v>0</v>
      </c>
      <c r="L221" s="3">
        <v>1</v>
      </c>
      <c r="M221" s="3">
        <v>210</v>
      </c>
      <c r="N221" s="3">
        <v>3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330</v>
      </c>
      <c r="Z221" s="3">
        <v>7</v>
      </c>
      <c r="AA221" s="3">
        <v>1</v>
      </c>
      <c r="AB221" s="3">
        <v>0</v>
      </c>
      <c r="AC221" s="3">
        <f t="shared" si="14"/>
        <v>552</v>
      </c>
      <c r="AD221" s="3">
        <v>3</v>
      </c>
      <c r="AE221" s="16">
        <f t="shared" si="15"/>
        <v>5.4054054054054057E-3</v>
      </c>
    </row>
    <row r="222" spans="1:31" x14ac:dyDescent="0.5">
      <c r="A222" s="3">
        <v>67</v>
      </c>
      <c r="B222" s="3">
        <v>14</v>
      </c>
      <c r="C222" s="3">
        <v>1080</v>
      </c>
      <c r="D222" s="3">
        <v>10</v>
      </c>
      <c r="E222" s="3">
        <v>225</v>
      </c>
      <c r="F222" s="3">
        <v>415</v>
      </c>
      <c r="G222" s="3">
        <v>528</v>
      </c>
      <c r="H222" s="16">
        <f t="shared" si="13"/>
        <v>0.48888888888888887</v>
      </c>
      <c r="I222" s="3">
        <v>950</v>
      </c>
      <c r="J222" s="3">
        <v>0</v>
      </c>
      <c r="K222" s="3">
        <v>0</v>
      </c>
      <c r="L222" s="3">
        <v>0</v>
      </c>
      <c r="M222" s="3">
        <v>212</v>
      </c>
      <c r="N222" s="3">
        <v>3</v>
      </c>
      <c r="O222" s="3">
        <v>1</v>
      </c>
      <c r="P222" s="3">
        <v>0</v>
      </c>
      <c r="Q222" s="3">
        <v>0</v>
      </c>
      <c r="R222" s="3">
        <v>1</v>
      </c>
      <c r="S222" s="3">
        <v>0</v>
      </c>
      <c r="T222" s="3">
        <v>0</v>
      </c>
      <c r="U222" s="3">
        <v>1</v>
      </c>
      <c r="V222" s="3">
        <v>1</v>
      </c>
      <c r="W222" s="3">
        <v>0</v>
      </c>
      <c r="X222" s="3">
        <v>0</v>
      </c>
      <c r="Y222" s="3">
        <v>295</v>
      </c>
      <c r="Z222" s="3">
        <v>4</v>
      </c>
      <c r="AA222" s="3">
        <v>1</v>
      </c>
      <c r="AB222" s="3">
        <v>0</v>
      </c>
      <c r="AC222" s="3">
        <f t="shared" si="14"/>
        <v>519</v>
      </c>
      <c r="AD222" s="3">
        <v>9</v>
      </c>
      <c r="AE222" s="16">
        <f t="shared" si="15"/>
        <v>1.7045454545454544E-2</v>
      </c>
    </row>
    <row r="223" spans="1:31" x14ac:dyDescent="0.5">
      <c r="A223" s="3">
        <v>67</v>
      </c>
      <c r="B223" s="3">
        <v>15</v>
      </c>
      <c r="C223" s="3">
        <v>1288</v>
      </c>
      <c r="D223" s="3">
        <v>8</v>
      </c>
      <c r="E223" s="3">
        <v>250</v>
      </c>
      <c r="F223" s="3">
        <v>465</v>
      </c>
      <c r="G223" s="3">
        <v>571</v>
      </c>
      <c r="H223" s="16">
        <f t="shared" si="13"/>
        <v>0.44332298136645965</v>
      </c>
      <c r="I223" s="3">
        <v>1150</v>
      </c>
      <c r="J223" s="3">
        <v>0</v>
      </c>
      <c r="K223" s="3">
        <v>0</v>
      </c>
      <c r="L223" s="3">
        <v>1</v>
      </c>
      <c r="M223" s="3">
        <v>183</v>
      </c>
      <c r="N223" s="3">
        <v>5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1</v>
      </c>
      <c r="Y223" s="3">
        <v>347</v>
      </c>
      <c r="Z223" s="3">
        <v>10</v>
      </c>
      <c r="AA223" s="3">
        <v>3</v>
      </c>
      <c r="AB223" s="3">
        <v>0</v>
      </c>
      <c r="AC223" s="3">
        <f t="shared" si="14"/>
        <v>550</v>
      </c>
      <c r="AD223" s="3">
        <v>21</v>
      </c>
      <c r="AE223" s="16">
        <f t="shared" si="15"/>
        <v>3.6777583187390543E-2</v>
      </c>
    </row>
    <row r="224" spans="1:31" x14ac:dyDescent="0.5">
      <c r="A224" s="3">
        <v>67</v>
      </c>
      <c r="B224" s="3">
        <v>16</v>
      </c>
      <c r="C224" s="3">
        <v>1504</v>
      </c>
      <c r="D224" s="3">
        <v>5</v>
      </c>
      <c r="E224" s="3">
        <v>269</v>
      </c>
      <c r="F224" s="3">
        <v>515</v>
      </c>
      <c r="G224" s="3">
        <v>630</v>
      </c>
      <c r="H224" s="16">
        <f t="shared" si="13"/>
        <v>0.41888297872340424</v>
      </c>
      <c r="I224" s="3">
        <v>1350</v>
      </c>
      <c r="J224" s="3">
        <v>0</v>
      </c>
      <c r="K224" s="3">
        <v>0</v>
      </c>
      <c r="L224" s="3">
        <v>1</v>
      </c>
      <c r="M224" s="3">
        <v>244</v>
      </c>
      <c r="N224" s="3">
        <v>4</v>
      </c>
      <c r="O224" s="3">
        <v>2</v>
      </c>
      <c r="P224" s="3">
        <v>0</v>
      </c>
      <c r="Q224" s="3">
        <v>1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341</v>
      </c>
      <c r="Z224" s="3">
        <v>8</v>
      </c>
      <c r="AA224" s="3">
        <v>2</v>
      </c>
      <c r="AB224" s="3">
        <v>1</v>
      </c>
      <c r="AC224" s="3">
        <f t="shared" si="14"/>
        <v>604</v>
      </c>
      <c r="AD224" s="3">
        <v>26</v>
      </c>
      <c r="AE224" s="16">
        <f t="shared" si="15"/>
        <v>4.1269841269841269E-2</v>
      </c>
    </row>
    <row r="225" spans="1:31" x14ac:dyDescent="0.5">
      <c r="A225" s="3">
        <v>67</v>
      </c>
      <c r="B225" s="3">
        <v>17</v>
      </c>
      <c r="C225" s="3">
        <v>1403</v>
      </c>
      <c r="D225" s="3">
        <v>10</v>
      </c>
      <c r="E225" s="3">
        <v>206</v>
      </c>
      <c r="F225" s="3">
        <v>461</v>
      </c>
      <c r="G225" s="3">
        <v>587</v>
      </c>
      <c r="H225" s="16">
        <f t="shared" si="13"/>
        <v>0.41838916607270138</v>
      </c>
      <c r="I225" s="3">
        <v>1250</v>
      </c>
      <c r="J225" s="3">
        <v>1</v>
      </c>
      <c r="K225" s="3">
        <v>0</v>
      </c>
      <c r="L225" s="3">
        <v>0</v>
      </c>
      <c r="M225" s="3">
        <v>219</v>
      </c>
      <c r="N225" s="3">
        <v>3</v>
      </c>
      <c r="O225" s="3">
        <v>1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1</v>
      </c>
      <c r="X225" s="3">
        <v>0</v>
      </c>
      <c r="Y225" s="3">
        <v>337</v>
      </c>
      <c r="Z225" s="3">
        <v>18</v>
      </c>
      <c r="AA225" s="3">
        <v>1</v>
      </c>
      <c r="AB225" s="3">
        <v>1</v>
      </c>
      <c r="AC225" s="3">
        <f t="shared" si="14"/>
        <v>582</v>
      </c>
      <c r="AD225" s="3">
        <v>5</v>
      </c>
      <c r="AE225" s="16">
        <f t="shared" si="15"/>
        <v>8.5178875638841564E-3</v>
      </c>
    </row>
    <row r="226" spans="1:31" x14ac:dyDescent="0.5">
      <c r="A226" s="3">
        <v>67</v>
      </c>
      <c r="B226" s="3">
        <v>18</v>
      </c>
      <c r="C226" s="3">
        <v>1191</v>
      </c>
      <c r="D226" s="3">
        <v>10</v>
      </c>
      <c r="E226" s="3">
        <v>149</v>
      </c>
      <c r="F226" s="3">
        <v>294</v>
      </c>
      <c r="G226" s="3">
        <v>375</v>
      </c>
      <c r="H226" s="16">
        <f t="shared" si="13"/>
        <v>0.31486146095717882</v>
      </c>
      <c r="I226" s="3">
        <v>1100</v>
      </c>
      <c r="J226" s="3">
        <v>0</v>
      </c>
      <c r="K226" s="3">
        <v>0</v>
      </c>
      <c r="L226" s="3">
        <v>0</v>
      </c>
      <c r="M226" s="3">
        <v>146</v>
      </c>
      <c r="N226" s="3">
        <v>1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1</v>
      </c>
      <c r="Y226" s="3">
        <v>210</v>
      </c>
      <c r="Z226" s="3">
        <v>1</v>
      </c>
      <c r="AA226" s="3">
        <v>1</v>
      </c>
      <c r="AB226" s="3">
        <v>0</v>
      </c>
      <c r="AC226" s="3">
        <f t="shared" si="14"/>
        <v>360</v>
      </c>
      <c r="AD226" s="3">
        <v>14</v>
      </c>
      <c r="AE226" s="16">
        <f t="shared" si="15"/>
        <v>3.7433155080213901E-2</v>
      </c>
    </row>
    <row r="227" spans="1:31" x14ac:dyDescent="0.5">
      <c r="A227" s="3">
        <v>67</v>
      </c>
      <c r="B227" s="3">
        <v>19</v>
      </c>
      <c r="C227" s="3">
        <v>1310</v>
      </c>
      <c r="D227" s="3">
        <v>7</v>
      </c>
      <c r="E227" s="3">
        <v>218</v>
      </c>
      <c r="F227" s="3">
        <v>442</v>
      </c>
      <c r="G227" s="3">
        <v>555</v>
      </c>
      <c r="H227" s="16">
        <f t="shared" si="13"/>
        <v>0.42366412213740456</v>
      </c>
      <c r="I227" s="3">
        <v>1150</v>
      </c>
      <c r="J227" s="3">
        <v>0</v>
      </c>
      <c r="K227" s="3">
        <v>0</v>
      </c>
      <c r="L227" s="3">
        <v>0</v>
      </c>
      <c r="M227" s="3">
        <v>230</v>
      </c>
      <c r="N227" s="3">
        <v>2</v>
      </c>
      <c r="O227" s="3">
        <v>1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1</v>
      </c>
      <c r="W227" s="3">
        <v>0</v>
      </c>
      <c r="X227" s="3">
        <v>0</v>
      </c>
      <c r="Y227" s="3">
        <v>309</v>
      </c>
      <c r="Z227" s="3">
        <v>8</v>
      </c>
      <c r="AA227" s="3">
        <v>0</v>
      </c>
      <c r="AB227" s="3">
        <v>1</v>
      </c>
      <c r="AC227" s="3">
        <f t="shared" si="14"/>
        <v>552</v>
      </c>
      <c r="AD227" s="3">
        <v>3</v>
      </c>
      <c r="AE227" s="16">
        <f t="shared" si="15"/>
        <v>5.4054054054054057E-3</v>
      </c>
    </row>
    <row r="228" spans="1:31" x14ac:dyDescent="0.5">
      <c r="A228" s="3">
        <v>67</v>
      </c>
      <c r="B228" s="3">
        <v>20</v>
      </c>
      <c r="C228" s="3">
        <v>1230</v>
      </c>
      <c r="D228" s="3">
        <v>11</v>
      </c>
      <c r="E228" s="3">
        <v>205</v>
      </c>
      <c r="F228" s="3">
        <v>440</v>
      </c>
      <c r="G228" s="3">
        <v>511</v>
      </c>
      <c r="H228" s="16">
        <f t="shared" si="13"/>
        <v>0.41544715447154473</v>
      </c>
      <c r="I228" s="3">
        <v>1100</v>
      </c>
      <c r="J228" s="3">
        <v>0</v>
      </c>
      <c r="K228" s="3">
        <v>0</v>
      </c>
      <c r="L228" s="3">
        <v>1</v>
      </c>
      <c r="M228" s="3">
        <v>246</v>
      </c>
      <c r="N228" s="3">
        <v>1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249</v>
      </c>
      <c r="Z228" s="3">
        <v>8</v>
      </c>
      <c r="AA228" s="3">
        <v>3</v>
      </c>
      <c r="AB228" s="3">
        <v>0</v>
      </c>
      <c r="AC228" s="3">
        <f t="shared" si="14"/>
        <v>508</v>
      </c>
      <c r="AD228" s="3">
        <v>3</v>
      </c>
      <c r="AE228" s="16">
        <f t="shared" si="15"/>
        <v>5.8708414872798431E-3</v>
      </c>
    </row>
    <row r="229" spans="1:31" x14ac:dyDescent="0.5">
      <c r="A229" s="3">
        <v>67</v>
      </c>
      <c r="B229" s="3">
        <v>21</v>
      </c>
      <c r="C229" s="3">
        <v>1033</v>
      </c>
      <c r="D229" s="3">
        <v>8</v>
      </c>
      <c r="E229" s="3">
        <v>178</v>
      </c>
      <c r="F229" s="3">
        <v>319</v>
      </c>
      <c r="G229" s="3">
        <v>411</v>
      </c>
      <c r="H229" s="16">
        <f t="shared" si="13"/>
        <v>0.39787028073572123</v>
      </c>
      <c r="I229" s="3">
        <v>950</v>
      </c>
      <c r="J229" s="3">
        <v>0</v>
      </c>
      <c r="K229" s="3">
        <v>0</v>
      </c>
      <c r="L229" s="3">
        <v>0</v>
      </c>
      <c r="M229" s="3">
        <v>162</v>
      </c>
      <c r="N229" s="3">
        <v>4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233</v>
      </c>
      <c r="Z229" s="3">
        <v>0</v>
      </c>
      <c r="AA229" s="3">
        <v>2</v>
      </c>
      <c r="AB229" s="3">
        <v>0</v>
      </c>
      <c r="AC229" s="3">
        <f t="shared" si="14"/>
        <v>401</v>
      </c>
      <c r="AD229" s="3">
        <v>10</v>
      </c>
      <c r="AE229" s="16">
        <f t="shared" si="15"/>
        <v>2.4330900243309004E-2</v>
      </c>
    </row>
    <row r="230" spans="1:31" x14ac:dyDescent="0.5">
      <c r="A230" s="3">
        <v>67</v>
      </c>
      <c r="B230" s="3">
        <v>22</v>
      </c>
      <c r="C230" s="3">
        <v>1072</v>
      </c>
      <c r="D230" s="3">
        <v>10</v>
      </c>
      <c r="E230" s="3">
        <v>219</v>
      </c>
      <c r="F230" s="3">
        <v>391</v>
      </c>
      <c r="G230" s="3">
        <v>464</v>
      </c>
      <c r="H230" s="16">
        <f t="shared" si="13"/>
        <v>0.43283582089552236</v>
      </c>
      <c r="I230" s="3">
        <v>950</v>
      </c>
      <c r="J230" s="3">
        <v>0</v>
      </c>
      <c r="K230" s="3">
        <v>0</v>
      </c>
      <c r="L230" s="3">
        <v>0</v>
      </c>
      <c r="M230" s="3">
        <v>210</v>
      </c>
      <c r="N230" s="3">
        <v>1</v>
      </c>
      <c r="O230" s="3">
        <v>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240</v>
      </c>
      <c r="Z230" s="3">
        <v>4</v>
      </c>
      <c r="AA230" s="3">
        <v>2</v>
      </c>
      <c r="AB230" s="3">
        <v>0</v>
      </c>
      <c r="AC230" s="3">
        <f t="shared" si="14"/>
        <v>459</v>
      </c>
      <c r="AD230" s="3">
        <v>5</v>
      </c>
      <c r="AE230" s="16">
        <f t="shared" si="15"/>
        <v>1.0775862068965518E-2</v>
      </c>
    </row>
    <row r="231" spans="1:31" x14ac:dyDescent="0.5">
      <c r="A231" s="3">
        <v>67</v>
      </c>
      <c r="B231" s="3">
        <v>23</v>
      </c>
      <c r="C231" s="3">
        <v>1323</v>
      </c>
      <c r="D231" s="3">
        <v>9</v>
      </c>
      <c r="E231" s="3">
        <v>228</v>
      </c>
      <c r="F231" s="3">
        <v>445</v>
      </c>
      <c r="G231" s="3">
        <v>595</v>
      </c>
      <c r="H231" s="16">
        <f t="shared" si="13"/>
        <v>0.44973544973544971</v>
      </c>
      <c r="I231" s="3">
        <v>1200</v>
      </c>
      <c r="J231" s="3">
        <v>0</v>
      </c>
      <c r="K231" s="3">
        <v>0</v>
      </c>
      <c r="L231" s="3">
        <v>1</v>
      </c>
      <c r="M231" s="3">
        <v>249</v>
      </c>
      <c r="N231" s="3">
        <v>4</v>
      </c>
      <c r="O231" s="3">
        <v>1</v>
      </c>
      <c r="P231" s="3">
        <v>0</v>
      </c>
      <c r="Q231" s="3">
        <v>1</v>
      </c>
      <c r="R231" s="3">
        <v>0</v>
      </c>
      <c r="S231" s="3">
        <v>0</v>
      </c>
      <c r="T231" s="3">
        <v>0</v>
      </c>
      <c r="U231" s="3">
        <v>1</v>
      </c>
      <c r="V231" s="3">
        <v>0</v>
      </c>
      <c r="W231" s="3">
        <v>0</v>
      </c>
      <c r="X231" s="3">
        <v>0</v>
      </c>
      <c r="Y231" s="3">
        <v>314</v>
      </c>
      <c r="Z231" s="3">
        <v>8</v>
      </c>
      <c r="AA231" s="3">
        <v>5</v>
      </c>
      <c r="AB231" s="3">
        <v>0</v>
      </c>
      <c r="AC231" s="3">
        <f t="shared" si="14"/>
        <v>584</v>
      </c>
      <c r="AD231" s="3">
        <v>11</v>
      </c>
      <c r="AE231" s="16">
        <f t="shared" si="15"/>
        <v>1.8487394957983194E-2</v>
      </c>
    </row>
    <row r="232" spans="1:31" x14ac:dyDescent="0.5">
      <c r="A232" s="3">
        <v>67</v>
      </c>
      <c r="B232" s="3">
        <v>24</v>
      </c>
      <c r="C232" s="3">
        <v>1240</v>
      </c>
      <c r="D232" s="3">
        <v>9</v>
      </c>
      <c r="E232" s="3">
        <v>136</v>
      </c>
      <c r="F232" s="3">
        <v>318</v>
      </c>
      <c r="G232" s="3">
        <v>378</v>
      </c>
      <c r="H232" s="16">
        <f t="shared" si="13"/>
        <v>0.30483870967741933</v>
      </c>
      <c r="I232" s="3">
        <v>1100</v>
      </c>
      <c r="J232" s="3">
        <v>0</v>
      </c>
      <c r="K232" s="3">
        <v>0</v>
      </c>
      <c r="L232" s="3">
        <v>0</v>
      </c>
      <c r="M232" s="3">
        <v>178</v>
      </c>
      <c r="N232" s="3">
        <v>2</v>
      </c>
      <c r="O232" s="3">
        <v>0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188</v>
      </c>
      <c r="Z232" s="3">
        <v>0</v>
      </c>
      <c r="AA232" s="3">
        <v>2</v>
      </c>
      <c r="AB232" s="3">
        <v>1</v>
      </c>
      <c r="AC232" s="3">
        <f t="shared" si="14"/>
        <v>372</v>
      </c>
      <c r="AD232" s="3">
        <v>6</v>
      </c>
      <c r="AE232" s="16">
        <f t="shared" si="15"/>
        <v>1.5873015873015872E-2</v>
      </c>
    </row>
    <row r="233" spans="1:31" x14ac:dyDescent="0.5">
      <c r="A233" s="3">
        <v>67</v>
      </c>
      <c r="B233" s="3">
        <v>25</v>
      </c>
      <c r="C233" s="3">
        <v>1164</v>
      </c>
      <c r="D233" s="3">
        <v>10</v>
      </c>
      <c r="E233" s="3">
        <v>225</v>
      </c>
      <c r="F233" s="3">
        <v>412</v>
      </c>
      <c r="G233" s="3">
        <v>494</v>
      </c>
      <c r="H233" s="16">
        <f t="shared" si="13"/>
        <v>0.42439862542955326</v>
      </c>
      <c r="I233" s="3">
        <v>1000</v>
      </c>
      <c r="J233" s="3">
        <v>0</v>
      </c>
      <c r="K233" s="3">
        <v>0</v>
      </c>
      <c r="L233" s="3">
        <v>0</v>
      </c>
      <c r="M233" s="3">
        <v>252</v>
      </c>
      <c r="N233" s="3">
        <v>2</v>
      </c>
      <c r="O233" s="3">
        <v>1</v>
      </c>
      <c r="P233" s="3">
        <v>0</v>
      </c>
      <c r="Q233" s="3">
        <v>1</v>
      </c>
      <c r="R233" s="3">
        <v>0</v>
      </c>
      <c r="S233" s="3">
        <v>0</v>
      </c>
      <c r="T233" s="3">
        <v>0</v>
      </c>
      <c r="U233" s="3">
        <v>1</v>
      </c>
      <c r="V233" s="3">
        <v>0</v>
      </c>
      <c r="W233" s="3">
        <v>0</v>
      </c>
      <c r="X233" s="3">
        <v>0</v>
      </c>
      <c r="Y233" s="3">
        <v>229</v>
      </c>
      <c r="Z233" s="3">
        <v>1</v>
      </c>
      <c r="AA233" s="3">
        <v>2</v>
      </c>
      <c r="AB233" s="3">
        <v>0</v>
      </c>
      <c r="AC233" s="3">
        <f t="shared" si="14"/>
        <v>489</v>
      </c>
      <c r="AD233" s="3">
        <v>5</v>
      </c>
      <c r="AE233" s="16">
        <f t="shared" si="15"/>
        <v>1.0121457489878543E-2</v>
      </c>
    </row>
    <row r="234" spans="1:31" x14ac:dyDescent="0.5">
      <c r="A234" s="3">
        <v>67</v>
      </c>
      <c r="B234" s="3">
        <v>26</v>
      </c>
      <c r="C234" s="3">
        <v>1251</v>
      </c>
      <c r="D234" s="3">
        <v>8</v>
      </c>
      <c r="E234" s="3">
        <v>197</v>
      </c>
      <c r="F234" s="3">
        <v>379</v>
      </c>
      <c r="G234" s="3">
        <v>444</v>
      </c>
      <c r="H234" s="16">
        <f t="shared" si="13"/>
        <v>0.35491606714628299</v>
      </c>
      <c r="I234" s="3">
        <v>1150</v>
      </c>
      <c r="J234" s="3">
        <v>0</v>
      </c>
      <c r="K234" s="3">
        <v>0</v>
      </c>
      <c r="L234" s="3">
        <v>0</v>
      </c>
      <c r="M234" s="3">
        <v>213</v>
      </c>
      <c r="N234" s="3">
        <v>3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</v>
      </c>
      <c r="X234" s="3">
        <v>0</v>
      </c>
      <c r="Y234" s="3">
        <v>219</v>
      </c>
      <c r="Z234" s="3">
        <v>2</v>
      </c>
      <c r="AA234" s="3">
        <v>2</v>
      </c>
      <c r="AB234" s="3">
        <v>1</v>
      </c>
      <c r="AC234" s="3">
        <f t="shared" si="14"/>
        <v>441</v>
      </c>
      <c r="AD234" s="3">
        <v>3</v>
      </c>
      <c r="AE234" s="16">
        <f t="shared" si="15"/>
        <v>6.7567567567567571E-3</v>
      </c>
    </row>
    <row r="235" spans="1:31" x14ac:dyDescent="0.5">
      <c r="A235" s="3">
        <v>67</v>
      </c>
      <c r="B235" s="3">
        <v>27</v>
      </c>
      <c r="C235" s="3">
        <v>1293</v>
      </c>
      <c r="D235" s="3">
        <v>9</v>
      </c>
      <c r="E235" s="3">
        <v>217</v>
      </c>
      <c r="F235" s="3">
        <v>410</v>
      </c>
      <c r="G235" s="3">
        <v>494</v>
      </c>
      <c r="H235" s="16">
        <f t="shared" si="13"/>
        <v>0.38205723124516627</v>
      </c>
      <c r="I235" s="3">
        <v>1200</v>
      </c>
      <c r="J235" s="3">
        <v>1</v>
      </c>
      <c r="K235" s="3">
        <v>0</v>
      </c>
      <c r="L235" s="3">
        <v>2</v>
      </c>
      <c r="M235" s="3">
        <v>201</v>
      </c>
      <c r="N235" s="3">
        <v>3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271</v>
      </c>
      <c r="Z235" s="3">
        <v>4</v>
      </c>
      <c r="AA235" s="3">
        <v>7</v>
      </c>
      <c r="AB235" s="3">
        <v>2</v>
      </c>
      <c r="AC235" s="3">
        <f t="shared" si="14"/>
        <v>491</v>
      </c>
      <c r="AD235" s="3">
        <v>3</v>
      </c>
      <c r="AE235" s="16">
        <f t="shared" si="15"/>
        <v>6.0728744939271256E-3</v>
      </c>
    </row>
    <row r="236" spans="1:31" x14ac:dyDescent="0.5">
      <c r="A236" s="3">
        <v>67</v>
      </c>
      <c r="B236" s="3">
        <v>28</v>
      </c>
      <c r="C236" s="3">
        <v>1476</v>
      </c>
      <c r="D236" s="3">
        <v>8</v>
      </c>
      <c r="E236" s="3">
        <v>238</v>
      </c>
      <c r="F236" s="3">
        <v>487</v>
      </c>
      <c r="G236" s="3">
        <v>577</v>
      </c>
      <c r="H236" s="16">
        <f t="shared" si="13"/>
        <v>0.39092140921409213</v>
      </c>
      <c r="I236" s="3">
        <v>1300</v>
      </c>
      <c r="J236" s="3">
        <v>0</v>
      </c>
      <c r="K236" s="3">
        <v>0</v>
      </c>
      <c r="L236" s="3">
        <v>0</v>
      </c>
      <c r="M236" s="3">
        <v>182</v>
      </c>
      <c r="N236" s="3">
        <v>2</v>
      </c>
      <c r="O236" s="3">
        <v>1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1</v>
      </c>
      <c r="W236" s="3">
        <v>0</v>
      </c>
      <c r="X236" s="3">
        <v>0</v>
      </c>
      <c r="Y236" s="3">
        <v>364</v>
      </c>
      <c r="Z236" s="3">
        <v>1</v>
      </c>
      <c r="AA236" s="3">
        <v>23</v>
      </c>
      <c r="AB236" s="3">
        <v>1</v>
      </c>
      <c r="AC236" s="3">
        <f t="shared" si="14"/>
        <v>575</v>
      </c>
      <c r="AD236" s="3">
        <v>2</v>
      </c>
      <c r="AE236" s="16">
        <f t="shared" si="15"/>
        <v>3.4662045060658577E-3</v>
      </c>
    </row>
    <row r="237" spans="1:31" x14ac:dyDescent="0.5">
      <c r="A237" s="3">
        <v>67</v>
      </c>
      <c r="B237" s="3">
        <v>29</v>
      </c>
      <c r="C237" s="3">
        <v>983</v>
      </c>
      <c r="D237" s="3">
        <v>10</v>
      </c>
      <c r="E237" s="3">
        <v>182</v>
      </c>
      <c r="F237" s="3">
        <v>404</v>
      </c>
      <c r="G237" s="3">
        <v>478</v>
      </c>
      <c r="H237" s="16">
        <f t="shared" si="13"/>
        <v>0.48626653102746692</v>
      </c>
      <c r="I237" s="3">
        <v>850</v>
      </c>
      <c r="J237" s="3">
        <v>1</v>
      </c>
      <c r="K237" s="3">
        <v>0</v>
      </c>
      <c r="L237" s="3">
        <v>0</v>
      </c>
      <c r="M237" s="3">
        <v>162</v>
      </c>
      <c r="N237" s="3">
        <v>5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1</v>
      </c>
      <c r="X237" s="3">
        <v>0</v>
      </c>
      <c r="Y237" s="3">
        <v>294</v>
      </c>
      <c r="Z237" s="3">
        <v>4</v>
      </c>
      <c r="AA237" s="3">
        <v>3</v>
      </c>
      <c r="AB237" s="3">
        <v>0</v>
      </c>
      <c r="AC237" s="3">
        <f t="shared" si="14"/>
        <v>470</v>
      </c>
      <c r="AD237" s="3">
        <v>8</v>
      </c>
      <c r="AE237" s="16">
        <f t="shared" si="15"/>
        <v>1.6736401673640166E-2</v>
      </c>
    </row>
    <row r="238" spans="1:31" x14ac:dyDescent="0.5">
      <c r="A238" s="3">
        <v>67</v>
      </c>
      <c r="B238" s="3">
        <v>30</v>
      </c>
      <c r="C238" s="3">
        <v>1194</v>
      </c>
      <c r="D238" s="3">
        <v>145</v>
      </c>
      <c r="E238" s="3">
        <v>264</v>
      </c>
      <c r="F238" s="3">
        <v>477</v>
      </c>
      <c r="G238" s="3">
        <v>582</v>
      </c>
      <c r="H238" s="16">
        <f t="shared" si="13"/>
        <v>0.48743718592964824</v>
      </c>
      <c r="I238" s="3">
        <v>1200</v>
      </c>
      <c r="J238" s="3">
        <v>1</v>
      </c>
      <c r="K238" s="3">
        <v>0</v>
      </c>
      <c r="L238" s="3">
        <v>1</v>
      </c>
      <c r="M238" s="3">
        <v>271</v>
      </c>
      <c r="N238" s="3">
        <v>6</v>
      </c>
      <c r="O238" s="3">
        <v>1</v>
      </c>
      <c r="P238" s="3">
        <v>0</v>
      </c>
      <c r="Q238" s="3">
        <v>0</v>
      </c>
      <c r="R238" s="3">
        <v>0</v>
      </c>
      <c r="S238" s="3">
        <v>0</v>
      </c>
      <c r="T238" s="3">
        <v>1</v>
      </c>
      <c r="U238" s="3">
        <v>0</v>
      </c>
      <c r="V238" s="3">
        <v>0</v>
      </c>
      <c r="W238" s="3">
        <v>0</v>
      </c>
      <c r="X238" s="3">
        <v>0</v>
      </c>
      <c r="Y238" s="3">
        <v>289</v>
      </c>
      <c r="Z238" s="3">
        <v>6</v>
      </c>
      <c r="AA238" s="3">
        <v>2</v>
      </c>
      <c r="AB238" s="3">
        <v>0</v>
      </c>
      <c r="AC238" s="3">
        <f t="shared" si="14"/>
        <v>578</v>
      </c>
      <c r="AD238" s="3">
        <v>4</v>
      </c>
      <c r="AE238" s="16">
        <f t="shared" si="15"/>
        <v>6.8728522336769758E-3</v>
      </c>
    </row>
    <row r="239" spans="1:31" x14ac:dyDescent="0.5">
      <c r="A239" s="3">
        <v>67</v>
      </c>
      <c r="B239" s="3">
        <v>31</v>
      </c>
      <c r="C239" s="3">
        <v>1203</v>
      </c>
      <c r="D239" s="3">
        <v>0</v>
      </c>
      <c r="E239" s="3">
        <v>306</v>
      </c>
      <c r="F239" s="3">
        <v>598</v>
      </c>
      <c r="G239" s="3">
        <v>686</v>
      </c>
      <c r="H239" s="16">
        <f t="shared" si="13"/>
        <v>0.57024106400665009</v>
      </c>
      <c r="I239" s="3">
        <v>1100</v>
      </c>
      <c r="J239" s="3">
        <v>0</v>
      </c>
      <c r="K239" s="3">
        <v>0</v>
      </c>
      <c r="L239" s="3">
        <v>2</v>
      </c>
      <c r="M239" s="3">
        <v>280</v>
      </c>
      <c r="N239" s="3">
        <v>4</v>
      </c>
      <c r="O239" s="3">
        <v>5</v>
      </c>
      <c r="P239" s="3">
        <v>0</v>
      </c>
      <c r="Q239" s="3">
        <v>0</v>
      </c>
      <c r="R239" s="3">
        <v>0</v>
      </c>
      <c r="S239" s="3">
        <v>0</v>
      </c>
      <c r="T239" s="3">
        <v>1</v>
      </c>
      <c r="U239" s="3">
        <v>0</v>
      </c>
      <c r="V239" s="3">
        <v>0</v>
      </c>
      <c r="W239" s="3">
        <v>0</v>
      </c>
      <c r="X239" s="3">
        <v>0</v>
      </c>
      <c r="Y239" s="3">
        <v>377</v>
      </c>
      <c r="Z239" s="3">
        <v>1</v>
      </c>
      <c r="AA239" s="3">
        <v>3</v>
      </c>
      <c r="AB239" s="3">
        <v>1</v>
      </c>
      <c r="AC239" s="3">
        <f t="shared" si="14"/>
        <v>674</v>
      </c>
      <c r="AD239" s="3">
        <v>12</v>
      </c>
      <c r="AE239" s="16">
        <f t="shared" si="15"/>
        <v>1.7492711370262391E-2</v>
      </c>
    </row>
    <row r="240" spans="1:31" x14ac:dyDescent="0.5">
      <c r="A240" s="3">
        <v>67</v>
      </c>
      <c r="B240" s="3">
        <v>32</v>
      </c>
      <c r="C240" s="3">
        <v>1178</v>
      </c>
      <c r="D240" s="3">
        <v>5</v>
      </c>
      <c r="E240" s="3">
        <v>229</v>
      </c>
      <c r="F240" s="3">
        <v>499</v>
      </c>
      <c r="G240" s="3">
        <v>560</v>
      </c>
      <c r="H240" s="16">
        <f t="shared" si="13"/>
        <v>0.47538200339558573</v>
      </c>
      <c r="I240" s="3">
        <v>1100</v>
      </c>
      <c r="J240" s="3">
        <v>0</v>
      </c>
      <c r="K240" s="3">
        <v>0</v>
      </c>
      <c r="L240" s="3">
        <v>0</v>
      </c>
      <c r="M240" s="3">
        <v>336</v>
      </c>
      <c r="N240" s="3">
        <v>5</v>
      </c>
      <c r="O240" s="3">
        <v>3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1</v>
      </c>
      <c r="W240" s="3">
        <v>0</v>
      </c>
      <c r="X240" s="3">
        <v>0</v>
      </c>
      <c r="Y240" s="3">
        <v>205</v>
      </c>
      <c r="Z240" s="3">
        <v>4</v>
      </c>
      <c r="AA240" s="3">
        <v>1</v>
      </c>
      <c r="AB240" s="3">
        <v>0</v>
      </c>
      <c r="AC240" s="3">
        <f t="shared" si="14"/>
        <v>555</v>
      </c>
      <c r="AD240" s="3">
        <v>5</v>
      </c>
      <c r="AE240" s="16">
        <f t="shared" si="15"/>
        <v>8.9285714285714281E-3</v>
      </c>
    </row>
    <row r="241" spans="1:31" x14ac:dyDescent="0.5">
      <c r="A241" s="3">
        <v>67</v>
      </c>
      <c r="B241" s="3">
        <v>33</v>
      </c>
      <c r="C241" s="3">
        <v>1327</v>
      </c>
      <c r="D241" s="3">
        <v>6</v>
      </c>
      <c r="E241" s="3">
        <v>250</v>
      </c>
      <c r="F241" s="3">
        <v>498</v>
      </c>
      <c r="G241" s="3">
        <v>583</v>
      </c>
      <c r="H241" s="16">
        <f t="shared" si="13"/>
        <v>0.43933685003767897</v>
      </c>
      <c r="I241" s="3">
        <v>1200</v>
      </c>
      <c r="J241" s="3">
        <v>1</v>
      </c>
      <c r="K241" s="3">
        <v>0</v>
      </c>
      <c r="L241" s="3">
        <v>0</v>
      </c>
      <c r="M241" s="3">
        <v>250</v>
      </c>
      <c r="N241" s="3">
        <v>3</v>
      </c>
      <c r="O241" s="3">
        <v>1</v>
      </c>
      <c r="P241" s="3">
        <v>0</v>
      </c>
      <c r="Q241" s="3">
        <v>1</v>
      </c>
      <c r="R241" s="3">
        <v>0</v>
      </c>
      <c r="S241" s="3">
        <v>0</v>
      </c>
      <c r="T241" s="3">
        <v>1</v>
      </c>
      <c r="U241" s="3">
        <v>0</v>
      </c>
      <c r="V241" s="3">
        <v>0</v>
      </c>
      <c r="W241" s="3">
        <v>0</v>
      </c>
      <c r="X241" s="3">
        <v>0</v>
      </c>
      <c r="Y241" s="3">
        <v>311</v>
      </c>
      <c r="Z241" s="3">
        <v>3</v>
      </c>
      <c r="AA241" s="3">
        <v>0</v>
      </c>
      <c r="AB241" s="3">
        <v>2</v>
      </c>
      <c r="AC241" s="3">
        <f t="shared" si="14"/>
        <v>573</v>
      </c>
      <c r="AD241" s="3">
        <v>8</v>
      </c>
      <c r="AE241" s="16">
        <f t="shared" si="15"/>
        <v>1.3769363166953529E-2</v>
      </c>
    </row>
    <row r="242" spans="1:31" x14ac:dyDescent="0.5">
      <c r="A242" s="3">
        <v>67</v>
      </c>
      <c r="B242" s="3">
        <v>34</v>
      </c>
      <c r="C242" s="3">
        <v>1255</v>
      </c>
      <c r="D242" s="3">
        <v>9</v>
      </c>
      <c r="E242" s="3">
        <v>241</v>
      </c>
      <c r="F242" s="3">
        <v>409</v>
      </c>
      <c r="G242" s="3">
        <v>516</v>
      </c>
      <c r="H242" s="16">
        <f t="shared" si="13"/>
        <v>0.41115537848605577</v>
      </c>
      <c r="I242" s="3">
        <v>1150</v>
      </c>
      <c r="J242" s="3">
        <v>1</v>
      </c>
      <c r="K242" s="3">
        <v>0</v>
      </c>
      <c r="L242" s="3">
        <v>1</v>
      </c>
      <c r="M242" s="3">
        <v>203</v>
      </c>
      <c r="N242" s="3">
        <v>4</v>
      </c>
      <c r="O242" s="3">
        <v>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296</v>
      </c>
      <c r="Z242" s="3">
        <v>1</v>
      </c>
      <c r="AA242" s="3">
        <v>4</v>
      </c>
      <c r="AB242" s="3">
        <v>1</v>
      </c>
      <c r="AC242" s="3">
        <f t="shared" si="14"/>
        <v>512</v>
      </c>
      <c r="AD242" s="3">
        <v>4</v>
      </c>
      <c r="AE242" s="16">
        <f t="shared" si="15"/>
        <v>7.7519379844961239E-3</v>
      </c>
    </row>
    <row r="243" spans="1:31" x14ac:dyDescent="0.5">
      <c r="A243" s="3">
        <v>67</v>
      </c>
      <c r="B243" s="3">
        <v>35</v>
      </c>
      <c r="C243" s="3">
        <v>1353</v>
      </c>
      <c r="D243" s="3">
        <v>3</v>
      </c>
      <c r="E243" s="3">
        <v>308</v>
      </c>
      <c r="F243" s="3">
        <v>593</v>
      </c>
      <c r="G243" s="3">
        <v>752</v>
      </c>
      <c r="H243" s="16">
        <f t="shared" si="13"/>
        <v>0.55580192165558018</v>
      </c>
      <c r="I243" s="3">
        <v>1250</v>
      </c>
      <c r="J243" s="3">
        <v>0</v>
      </c>
      <c r="K243" s="3">
        <v>0</v>
      </c>
      <c r="L243" s="3">
        <v>0</v>
      </c>
      <c r="M243" s="3">
        <v>311</v>
      </c>
      <c r="N243" s="3">
        <v>1</v>
      </c>
      <c r="O243" s="3">
        <v>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417</v>
      </c>
      <c r="Z243" s="3">
        <v>4</v>
      </c>
      <c r="AA243" s="3">
        <v>4</v>
      </c>
      <c r="AB243" s="3">
        <v>1</v>
      </c>
      <c r="AC243" s="3">
        <f t="shared" si="14"/>
        <v>740</v>
      </c>
      <c r="AD243" s="3">
        <v>12</v>
      </c>
      <c r="AE243" s="16">
        <f t="shared" si="15"/>
        <v>1.5957446808510637E-2</v>
      </c>
    </row>
    <row r="244" spans="1:31" x14ac:dyDescent="0.5">
      <c r="A244" s="3">
        <v>67</v>
      </c>
      <c r="B244" s="3">
        <v>36</v>
      </c>
      <c r="C244" s="3">
        <v>938</v>
      </c>
      <c r="D244" s="3">
        <v>6</v>
      </c>
      <c r="E244" s="3">
        <v>202</v>
      </c>
      <c r="F244" s="3">
        <v>383</v>
      </c>
      <c r="G244" s="3">
        <v>471</v>
      </c>
      <c r="H244" s="16">
        <f t="shared" si="13"/>
        <v>0.50213219616204696</v>
      </c>
      <c r="I244" s="3">
        <v>850</v>
      </c>
      <c r="J244" s="3">
        <v>1</v>
      </c>
      <c r="K244" s="3">
        <v>0</v>
      </c>
      <c r="L244" s="3">
        <v>0</v>
      </c>
      <c r="M244" s="3">
        <v>242</v>
      </c>
      <c r="N244" s="3">
        <v>4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1</v>
      </c>
      <c r="Y244" s="3">
        <v>207</v>
      </c>
      <c r="Z244" s="3">
        <v>0</v>
      </c>
      <c r="AA244" s="3">
        <v>3</v>
      </c>
      <c r="AB244" s="3">
        <v>3</v>
      </c>
      <c r="AC244" s="3">
        <f t="shared" si="14"/>
        <v>461</v>
      </c>
      <c r="AD244" s="3">
        <v>10</v>
      </c>
      <c r="AE244" s="16">
        <f t="shared" si="15"/>
        <v>2.1231422505307854E-2</v>
      </c>
    </row>
    <row r="245" spans="1:31" x14ac:dyDescent="0.5">
      <c r="A245" s="3">
        <v>67</v>
      </c>
      <c r="B245" s="3">
        <v>37</v>
      </c>
      <c r="C245" s="3">
        <v>1308</v>
      </c>
      <c r="D245" s="3">
        <v>5</v>
      </c>
      <c r="E245" s="3">
        <v>282</v>
      </c>
      <c r="F245" s="3">
        <v>574</v>
      </c>
      <c r="G245" s="3">
        <v>693</v>
      </c>
      <c r="H245" s="16">
        <f t="shared" si="13"/>
        <v>0.52981651376146788</v>
      </c>
      <c r="I245" s="3">
        <v>1200</v>
      </c>
      <c r="J245" s="3">
        <v>0</v>
      </c>
      <c r="K245" s="3">
        <v>0</v>
      </c>
      <c r="L245" s="3">
        <v>2</v>
      </c>
      <c r="M245" s="3">
        <v>286</v>
      </c>
      <c r="N245" s="3">
        <v>9</v>
      </c>
      <c r="O245" s="3">
        <v>4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378</v>
      </c>
      <c r="Z245" s="3">
        <v>3</v>
      </c>
      <c r="AA245" s="3">
        <v>1</v>
      </c>
      <c r="AB245" s="3">
        <v>1</v>
      </c>
      <c r="AC245" s="3">
        <f t="shared" si="14"/>
        <v>684</v>
      </c>
      <c r="AD245" s="3">
        <v>9</v>
      </c>
      <c r="AE245" s="16">
        <f t="shared" si="15"/>
        <v>1.2987012987012988E-2</v>
      </c>
    </row>
    <row r="246" spans="1:31" x14ac:dyDescent="0.5">
      <c r="A246" s="3">
        <v>67</v>
      </c>
      <c r="B246" s="3">
        <v>38</v>
      </c>
      <c r="C246" s="3">
        <v>1155</v>
      </c>
      <c r="D246" s="3">
        <v>4</v>
      </c>
      <c r="E246" s="3">
        <v>168</v>
      </c>
      <c r="F246" s="3">
        <v>395</v>
      </c>
      <c r="G246" s="3">
        <v>454</v>
      </c>
      <c r="H246" s="16">
        <f t="shared" si="13"/>
        <v>0.39307359307359307</v>
      </c>
      <c r="I246" s="3">
        <v>1100</v>
      </c>
      <c r="J246" s="3">
        <v>1</v>
      </c>
      <c r="K246" s="3">
        <v>0</v>
      </c>
      <c r="L246" s="3">
        <v>1</v>
      </c>
      <c r="M246" s="3">
        <v>203</v>
      </c>
      <c r="N246" s="3">
        <v>2</v>
      </c>
      <c r="O246" s="3">
        <v>1</v>
      </c>
      <c r="P246" s="3">
        <v>0</v>
      </c>
      <c r="Q246" s="3">
        <v>1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235</v>
      </c>
      <c r="Z246" s="3">
        <v>0</v>
      </c>
      <c r="AA246" s="3">
        <v>5</v>
      </c>
      <c r="AB246" s="3">
        <v>2</v>
      </c>
      <c r="AC246" s="3">
        <f t="shared" si="14"/>
        <v>451</v>
      </c>
      <c r="AD246" s="3">
        <v>3</v>
      </c>
      <c r="AE246" s="16">
        <f t="shared" si="15"/>
        <v>6.6079295154185024E-3</v>
      </c>
    </row>
    <row r="247" spans="1:31" x14ac:dyDescent="0.5">
      <c r="A247" s="3">
        <v>67</v>
      </c>
      <c r="B247" s="3">
        <v>39</v>
      </c>
      <c r="C247" s="3">
        <v>543</v>
      </c>
      <c r="D247" s="3">
        <v>7</v>
      </c>
      <c r="E247" s="3">
        <v>133</v>
      </c>
      <c r="F247" s="3">
        <v>257</v>
      </c>
      <c r="G247" s="3">
        <v>312</v>
      </c>
      <c r="H247" s="16">
        <f t="shared" si="13"/>
        <v>0.574585635359116</v>
      </c>
      <c r="I247" s="3">
        <v>500</v>
      </c>
      <c r="J247" s="3">
        <v>1</v>
      </c>
      <c r="K247" s="3">
        <v>0</v>
      </c>
      <c r="L247" s="3">
        <v>1</v>
      </c>
      <c r="M247" s="3">
        <v>124</v>
      </c>
      <c r="N247" s="3">
        <v>4</v>
      </c>
      <c r="O247" s="3">
        <v>5</v>
      </c>
      <c r="P247" s="3">
        <v>0</v>
      </c>
      <c r="Q247" s="3">
        <v>1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1</v>
      </c>
      <c r="Y247" s="3">
        <v>168</v>
      </c>
      <c r="Z247" s="3">
        <v>1</v>
      </c>
      <c r="AA247" s="3">
        <v>0</v>
      </c>
      <c r="AB247" s="3">
        <v>1</v>
      </c>
      <c r="AC247" s="3">
        <f t="shared" si="14"/>
        <v>307</v>
      </c>
      <c r="AD247" s="3">
        <v>5</v>
      </c>
      <c r="AE247" s="16">
        <f t="shared" si="15"/>
        <v>1.6025641025641024E-2</v>
      </c>
    </row>
    <row r="248" spans="1:31" x14ac:dyDescent="0.5">
      <c r="A248" s="3">
        <v>67</v>
      </c>
      <c r="B248" s="3">
        <v>40</v>
      </c>
      <c r="C248" s="3">
        <v>547</v>
      </c>
      <c r="D248" s="3">
        <v>3</v>
      </c>
      <c r="E248" s="3">
        <v>128</v>
      </c>
      <c r="F248" s="3">
        <v>297</v>
      </c>
      <c r="G248" s="3">
        <v>357</v>
      </c>
      <c r="H248" s="16">
        <f t="shared" si="13"/>
        <v>0.65265082266910424</v>
      </c>
      <c r="I248" s="3">
        <v>500</v>
      </c>
      <c r="J248" s="3">
        <v>1</v>
      </c>
      <c r="K248" s="3">
        <v>0</v>
      </c>
      <c r="L248" s="3">
        <v>1</v>
      </c>
      <c r="M248" s="3">
        <v>152</v>
      </c>
      <c r="N248" s="3">
        <v>4</v>
      </c>
      <c r="O248" s="3">
        <v>1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1</v>
      </c>
      <c r="X248" s="3">
        <v>0</v>
      </c>
      <c r="Y248" s="3">
        <v>188</v>
      </c>
      <c r="Z248" s="3">
        <v>1</v>
      </c>
      <c r="AA248" s="3">
        <v>0</v>
      </c>
      <c r="AB248" s="3">
        <v>1</v>
      </c>
      <c r="AC248" s="3">
        <f t="shared" si="14"/>
        <v>350</v>
      </c>
      <c r="AD248" s="3">
        <v>7</v>
      </c>
      <c r="AE248" s="16">
        <f t="shared" si="15"/>
        <v>1.9607843137254902E-2</v>
      </c>
    </row>
    <row r="249" spans="1:31" x14ac:dyDescent="0.5">
      <c r="A249" s="3">
        <v>67</v>
      </c>
      <c r="B249" s="3">
        <v>41</v>
      </c>
      <c r="C249" s="3">
        <v>1427</v>
      </c>
      <c r="D249" s="3">
        <v>5</v>
      </c>
      <c r="E249" s="3">
        <v>249</v>
      </c>
      <c r="F249" s="3">
        <v>529</v>
      </c>
      <c r="G249" s="3">
        <v>682</v>
      </c>
      <c r="H249" s="16">
        <f t="shared" si="13"/>
        <v>0.47792571829011915</v>
      </c>
      <c r="I249" s="3">
        <v>1300</v>
      </c>
      <c r="J249" s="3">
        <v>0</v>
      </c>
      <c r="K249" s="3">
        <v>0</v>
      </c>
      <c r="L249" s="3">
        <v>3</v>
      </c>
      <c r="M249" s="3">
        <v>341</v>
      </c>
      <c r="N249" s="3">
        <v>4</v>
      </c>
      <c r="O249" s="3">
        <v>8</v>
      </c>
      <c r="P249" s="3">
        <v>0</v>
      </c>
      <c r="Q249" s="3">
        <v>0</v>
      </c>
      <c r="R249" s="3">
        <v>1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313</v>
      </c>
      <c r="Z249" s="3">
        <v>1</v>
      </c>
      <c r="AA249" s="3">
        <v>1</v>
      </c>
      <c r="AB249" s="3">
        <v>1</v>
      </c>
      <c r="AC249" s="3">
        <f t="shared" si="14"/>
        <v>673</v>
      </c>
      <c r="AD249" s="3">
        <v>9</v>
      </c>
      <c r="AE249" s="16">
        <f t="shared" si="15"/>
        <v>1.3196480938416423E-2</v>
      </c>
    </row>
    <row r="250" spans="1:31" x14ac:dyDescent="0.5">
      <c r="A250" s="3">
        <v>67</v>
      </c>
      <c r="B250" s="3">
        <v>42</v>
      </c>
      <c r="C250" s="3">
        <v>665</v>
      </c>
      <c r="D250" s="3">
        <v>4</v>
      </c>
      <c r="E250" s="3">
        <v>174</v>
      </c>
      <c r="F250" s="3">
        <v>324</v>
      </c>
      <c r="G250" s="3">
        <v>415</v>
      </c>
      <c r="H250" s="16">
        <f t="shared" si="13"/>
        <v>0.62406015037593987</v>
      </c>
      <c r="I250" s="3">
        <v>600</v>
      </c>
      <c r="J250" s="3">
        <v>0</v>
      </c>
      <c r="K250" s="3">
        <v>0</v>
      </c>
      <c r="L250" s="3">
        <v>2</v>
      </c>
      <c r="M250" s="3">
        <v>172</v>
      </c>
      <c r="N250" s="3">
        <v>1</v>
      </c>
      <c r="O250" s="3">
        <v>3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1</v>
      </c>
      <c r="Y250" s="3">
        <v>224</v>
      </c>
      <c r="Z250" s="3">
        <v>4</v>
      </c>
      <c r="AA250" s="3">
        <v>1</v>
      </c>
      <c r="AB250" s="3">
        <v>1</v>
      </c>
      <c r="AC250" s="3">
        <f t="shared" si="14"/>
        <v>409</v>
      </c>
      <c r="AD250" s="3">
        <v>6</v>
      </c>
      <c r="AE250" s="16">
        <f t="shared" si="15"/>
        <v>1.4457831325301205E-2</v>
      </c>
    </row>
    <row r="251" spans="1:31" x14ac:dyDescent="0.5">
      <c r="A251" s="3">
        <v>67</v>
      </c>
      <c r="B251" s="3">
        <v>43</v>
      </c>
      <c r="C251" s="3">
        <v>1075</v>
      </c>
      <c r="D251" s="3">
        <v>2</v>
      </c>
      <c r="E251" s="3">
        <v>247</v>
      </c>
      <c r="F251" s="3">
        <v>424</v>
      </c>
      <c r="G251" s="3">
        <v>524</v>
      </c>
      <c r="H251" s="16">
        <f t="shared" si="13"/>
        <v>0.48744186046511628</v>
      </c>
      <c r="I251" s="3">
        <v>1000</v>
      </c>
      <c r="J251" s="3">
        <v>0</v>
      </c>
      <c r="K251" s="3">
        <v>0</v>
      </c>
      <c r="L251" s="3">
        <v>0</v>
      </c>
      <c r="M251" s="3">
        <v>229</v>
      </c>
      <c r="N251" s="3">
        <v>0</v>
      </c>
      <c r="O251" s="3">
        <v>4</v>
      </c>
      <c r="P251" s="3">
        <v>0</v>
      </c>
      <c r="Q251" s="3">
        <v>0</v>
      </c>
      <c r="R251" s="3">
        <v>1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280</v>
      </c>
      <c r="Z251" s="3">
        <v>2</v>
      </c>
      <c r="AA251" s="3">
        <v>1</v>
      </c>
      <c r="AB251" s="3">
        <v>1</v>
      </c>
      <c r="AC251" s="3">
        <f t="shared" si="14"/>
        <v>518</v>
      </c>
      <c r="AD251" s="3">
        <v>6</v>
      </c>
      <c r="AE251" s="16">
        <f t="shared" si="15"/>
        <v>1.1450381679389313E-2</v>
      </c>
    </row>
    <row r="252" spans="1:31" x14ac:dyDescent="0.5">
      <c r="A252" s="3">
        <v>67</v>
      </c>
      <c r="B252" s="3">
        <v>44</v>
      </c>
      <c r="C252" s="3">
        <v>1104</v>
      </c>
      <c r="D252" s="3">
        <v>1</v>
      </c>
      <c r="E252" s="3">
        <v>311</v>
      </c>
      <c r="F252" s="3">
        <v>590</v>
      </c>
      <c r="G252" s="3">
        <v>763</v>
      </c>
      <c r="H252" s="16">
        <f t="shared" si="13"/>
        <v>0.69112318840579712</v>
      </c>
      <c r="I252" s="3">
        <v>1000</v>
      </c>
      <c r="J252" s="3">
        <v>0</v>
      </c>
      <c r="K252" s="3">
        <v>0</v>
      </c>
      <c r="L252" s="3">
        <v>2</v>
      </c>
      <c r="M252" s="3">
        <v>324</v>
      </c>
      <c r="N252" s="3">
        <v>2</v>
      </c>
      <c r="O252" s="3">
        <v>6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1</v>
      </c>
      <c r="Y252" s="3">
        <v>406</v>
      </c>
      <c r="Z252" s="3">
        <v>4</v>
      </c>
      <c r="AA252" s="3">
        <v>1</v>
      </c>
      <c r="AB252" s="3">
        <v>3</v>
      </c>
      <c r="AC252" s="3">
        <f t="shared" si="14"/>
        <v>749</v>
      </c>
      <c r="AD252" s="3">
        <v>14</v>
      </c>
      <c r="AE252" s="16">
        <f t="shared" si="15"/>
        <v>1.834862385321101E-2</v>
      </c>
    </row>
    <row r="253" spans="1:31" x14ac:dyDescent="0.5">
      <c r="A253" s="3">
        <v>67</v>
      </c>
      <c r="B253" s="3">
        <v>45</v>
      </c>
      <c r="C253" s="3">
        <v>1157</v>
      </c>
      <c r="D253" s="3">
        <v>3</v>
      </c>
      <c r="E253" s="3">
        <v>245</v>
      </c>
      <c r="F253" s="3">
        <v>523</v>
      </c>
      <c r="G253" s="3">
        <v>684</v>
      </c>
      <c r="H253" s="16">
        <f t="shared" si="13"/>
        <v>0.59118409680207429</v>
      </c>
      <c r="I253" s="3">
        <v>1050</v>
      </c>
      <c r="J253" s="3">
        <v>0</v>
      </c>
      <c r="K253" s="3">
        <v>0</v>
      </c>
      <c r="L253" s="3">
        <v>1</v>
      </c>
      <c r="M253" s="3">
        <v>347</v>
      </c>
      <c r="N253" s="3">
        <v>4</v>
      </c>
      <c r="O253" s="3">
        <v>3</v>
      </c>
      <c r="P253" s="3">
        <v>0</v>
      </c>
      <c r="Q253" s="3">
        <v>0</v>
      </c>
      <c r="R253" s="3">
        <v>0</v>
      </c>
      <c r="S253" s="3">
        <v>0</v>
      </c>
      <c r="T253" s="3">
        <v>1</v>
      </c>
      <c r="U253" s="3">
        <v>1</v>
      </c>
      <c r="V253" s="3">
        <v>1</v>
      </c>
      <c r="W253" s="3">
        <v>0</v>
      </c>
      <c r="X253" s="3">
        <v>0</v>
      </c>
      <c r="Y253" s="3">
        <v>303</v>
      </c>
      <c r="Z253" s="3">
        <v>1</v>
      </c>
      <c r="AA253" s="3">
        <v>1</v>
      </c>
      <c r="AB253" s="3">
        <v>3</v>
      </c>
      <c r="AC253" s="3">
        <f t="shared" si="14"/>
        <v>666</v>
      </c>
      <c r="AD253" s="3">
        <v>15</v>
      </c>
      <c r="AE253" s="16">
        <f t="shared" si="15"/>
        <v>2.2026431718061675E-2</v>
      </c>
    </row>
    <row r="254" spans="1:31" x14ac:dyDescent="0.5">
      <c r="A254" s="3">
        <v>67</v>
      </c>
      <c r="B254" s="3">
        <v>46</v>
      </c>
      <c r="C254" s="3">
        <v>1390</v>
      </c>
      <c r="D254" s="3">
        <v>12</v>
      </c>
      <c r="E254" s="3">
        <v>228</v>
      </c>
      <c r="F254" s="3">
        <v>515</v>
      </c>
      <c r="G254" s="3">
        <v>551</v>
      </c>
      <c r="H254" s="16">
        <f t="shared" si="13"/>
        <v>0.39640287769784172</v>
      </c>
      <c r="I254" s="3">
        <v>1250</v>
      </c>
      <c r="J254" s="3">
        <v>2</v>
      </c>
      <c r="K254" s="3">
        <v>0</v>
      </c>
      <c r="L254" s="3">
        <v>1</v>
      </c>
      <c r="M254" s="3">
        <v>233</v>
      </c>
      <c r="N254" s="3">
        <v>2</v>
      </c>
      <c r="O254" s="3">
        <v>1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303</v>
      </c>
      <c r="Z254" s="3">
        <v>1</v>
      </c>
      <c r="AA254" s="3">
        <v>1</v>
      </c>
      <c r="AB254" s="3">
        <v>1</v>
      </c>
      <c r="AC254" s="3">
        <f t="shared" si="14"/>
        <v>545</v>
      </c>
      <c r="AD254" s="3">
        <v>6</v>
      </c>
      <c r="AE254" s="16">
        <f t="shared" si="15"/>
        <v>1.0889292196007259E-2</v>
      </c>
    </row>
    <row r="255" spans="1:31" x14ac:dyDescent="0.5">
      <c r="A255" s="3">
        <v>67</v>
      </c>
      <c r="B255" s="3">
        <v>47</v>
      </c>
      <c r="C255" s="3">
        <v>1330</v>
      </c>
      <c r="D255" s="3">
        <v>8</v>
      </c>
      <c r="E255" s="3">
        <v>237</v>
      </c>
      <c r="F255" s="3">
        <v>443</v>
      </c>
      <c r="G255" s="3">
        <v>542</v>
      </c>
      <c r="H255" s="16">
        <f t="shared" si="13"/>
        <v>0.40751879699248122</v>
      </c>
      <c r="I255" s="3">
        <v>1200</v>
      </c>
      <c r="J255" s="3">
        <v>0</v>
      </c>
      <c r="K255" s="3">
        <v>0</v>
      </c>
      <c r="L255" s="3">
        <v>0</v>
      </c>
      <c r="M255" s="3">
        <v>249</v>
      </c>
      <c r="N255" s="3">
        <v>7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1</v>
      </c>
      <c r="V255" s="3">
        <v>0</v>
      </c>
      <c r="W255" s="3">
        <v>0</v>
      </c>
      <c r="X255" s="3">
        <v>0</v>
      </c>
      <c r="Y255" s="3">
        <v>268</v>
      </c>
      <c r="Z255" s="3">
        <v>1</v>
      </c>
      <c r="AA255" s="3">
        <v>2</v>
      </c>
      <c r="AB255" s="3">
        <v>2</v>
      </c>
      <c r="AC255" s="3">
        <f t="shared" si="14"/>
        <v>530</v>
      </c>
      <c r="AD255" s="3">
        <v>11</v>
      </c>
      <c r="AE255" s="16">
        <f t="shared" si="15"/>
        <v>2.0332717190388171E-2</v>
      </c>
    </row>
    <row r="256" spans="1:31" x14ac:dyDescent="0.5">
      <c r="A256" s="3">
        <v>67</v>
      </c>
      <c r="B256" s="3">
        <v>48</v>
      </c>
      <c r="C256" s="3">
        <v>1151</v>
      </c>
      <c r="D256" s="3">
        <v>0</v>
      </c>
      <c r="E256" s="3">
        <v>293</v>
      </c>
      <c r="F256" s="3">
        <v>456</v>
      </c>
      <c r="G256" s="3">
        <v>562</v>
      </c>
      <c r="H256" s="16">
        <f t="shared" si="13"/>
        <v>0.4882710686359687</v>
      </c>
      <c r="I256" s="3">
        <v>1050</v>
      </c>
      <c r="J256" s="3">
        <v>2</v>
      </c>
      <c r="K256" s="3">
        <v>0</v>
      </c>
      <c r="L256" s="3">
        <v>2</v>
      </c>
      <c r="M256" s="3">
        <v>265</v>
      </c>
      <c r="N256" s="3">
        <v>4</v>
      </c>
      <c r="O256" s="3">
        <v>2</v>
      </c>
      <c r="P256" s="3">
        <v>0</v>
      </c>
      <c r="Q256" s="3">
        <v>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1</v>
      </c>
      <c r="X256" s="3">
        <v>0</v>
      </c>
      <c r="Y256" s="3">
        <v>266</v>
      </c>
      <c r="Z256" s="3">
        <v>3</v>
      </c>
      <c r="AA256" s="3">
        <v>2</v>
      </c>
      <c r="AB256" s="3">
        <v>0</v>
      </c>
      <c r="AC256" s="3">
        <f t="shared" si="14"/>
        <v>549</v>
      </c>
      <c r="AD256" s="3">
        <v>13</v>
      </c>
      <c r="AE256" s="16">
        <f t="shared" si="15"/>
        <v>2.3131672597864767E-2</v>
      </c>
    </row>
    <row r="257" spans="1:31" x14ac:dyDescent="0.5">
      <c r="A257" s="3">
        <v>67</v>
      </c>
      <c r="B257" s="3">
        <v>49</v>
      </c>
      <c r="C257" s="3">
        <v>1411</v>
      </c>
      <c r="D257" s="3">
        <v>5</v>
      </c>
      <c r="E257" s="3">
        <v>279</v>
      </c>
      <c r="F257" s="3">
        <v>501</v>
      </c>
      <c r="G257" s="3">
        <v>610</v>
      </c>
      <c r="H257" s="16">
        <f t="shared" si="13"/>
        <v>0.43231750531537916</v>
      </c>
      <c r="I257" s="3">
        <v>1300</v>
      </c>
      <c r="J257" s="3">
        <v>0</v>
      </c>
      <c r="K257" s="3">
        <v>0</v>
      </c>
      <c r="L257" s="3">
        <v>1</v>
      </c>
      <c r="M257" s="3">
        <v>326</v>
      </c>
      <c r="N257" s="3">
        <v>1</v>
      </c>
      <c r="O257" s="3">
        <v>3</v>
      </c>
      <c r="P257" s="3">
        <v>0</v>
      </c>
      <c r="Q257" s="3">
        <v>1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1</v>
      </c>
      <c r="X257" s="3">
        <v>1</v>
      </c>
      <c r="Y257" s="3">
        <v>264</v>
      </c>
      <c r="Z257" s="3">
        <v>4</v>
      </c>
      <c r="AA257" s="3">
        <v>0</v>
      </c>
      <c r="AB257" s="3">
        <v>0</v>
      </c>
      <c r="AC257" s="3">
        <f t="shared" si="14"/>
        <v>602</v>
      </c>
      <c r="AD257" s="3">
        <v>8</v>
      </c>
      <c r="AE257" s="16">
        <f t="shared" si="15"/>
        <v>1.3114754098360656E-2</v>
      </c>
    </row>
    <row r="258" spans="1:31" x14ac:dyDescent="0.5">
      <c r="A258" s="3">
        <v>67</v>
      </c>
      <c r="B258" s="3">
        <v>50</v>
      </c>
      <c r="C258" s="3">
        <v>1187</v>
      </c>
      <c r="D258" s="3">
        <v>7</v>
      </c>
      <c r="E258" s="3">
        <v>270</v>
      </c>
      <c r="F258" s="3">
        <v>481</v>
      </c>
      <c r="G258" s="3">
        <v>586</v>
      </c>
      <c r="H258" s="16">
        <f t="shared" si="13"/>
        <v>0.493681550126369</v>
      </c>
      <c r="I258" s="3">
        <v>1100</v>
      </c>
      <c r="J258" s="3">
        <v>0</v>
      </c>
      <c r="K258" s="3">
        <v>0</v>
      </c>
      <c r="L258" s="3">
        <v>0</v>
      </c>
      <c r="M258" s="3">
        <v>224</v>
      </c>
      <c r="N258" s="3">
        <v>3</v>
      </c>
      <c r="O258" s="3">
        <v>1</v>
      </c>
      <c r="P258" s="3">
        <v>0</v>
      </c>
      <c r="Q258" s="3">
        <v>0</v>
      </c>
      <c r="R258" s="3">
        <v>2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1</v>
      </c>
      <c r="Y258" s="3">
        <v>319</v>
      </c>
      <c r="Z258" s="3">
        <v>6</v>
      </c>
      <c r="AA258" s="3">
        <v>16</v>
      </c>
      <c r="AB258" s="3">
        <v>3</v>
      </c>
      <c r="AC258" s="3">
        <f t="shared" si="14"/>
        <v>575</v>
      </c>
      <c r="AD258" s="3">
        <v>11</v>
      </c>
      <c r="AE258" s="16">
        <f t="shared" si="15"/>
        <v>1.877133105802048E-2</v>
      </c>
    </row>
    <row r="259" spans="1:31" x14ac:dyDescent="0.5">
      <c r="A259" s="3">
        <v>67</v>
      </c>
      <c r="B259" s="3">
        <v>51</v>
      </c>
      <c r="C259" s="3">
        <v>982</v>
      </c>
      <c r="D259" s="3">
        <v>8</v>
      </c>
      <c r="E259" s="3">
        <v>134</v>
      </c>
      <c r="F259" s="3">
        <v>308</v>
      </c>
      <c r="G259" s="3">
        <v>385</v>
      </c>
      <c r="H259" s="16">
        <f t="shared" si="13"/>
        <v>0.39205702647657842</v>
      </c>
      <c r="I259" s="3">
        <v>900</v>
      </c>
      <c r="J259" s="3">
        <v>0</v>
      </c>
      <c r="K259" s="3">
        <v>0</v>
      </c>
      <c r="L259" s="3">
        <v>0</v>
      </c>
      <c r="M259" s="3">
        <v>137</v>
      </c>
      <c r="N259" s="3">
        <v>0</v>
      </c>
      <c r="O259" s="3">
        <v>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1</v>
      </c>
      <c r="V259" s="3">
        <v>0</v>
      </c>
      <c r="W259" s="3">
        <v>0</v>
      </c>
      <c r="X259" s="3">
        <v>0</v>
      </c>
      <c r="Y259" s="3">
        <v>233</v>
      </c>
      <c r="Z259" s="3">
        <v>3</v>
      </c>
      <c r="AA259" s="3">
        <v>3</v>
      </c>
      <c r="AB259" s="3">
        <v>1</v>
      </c>
      <c r="AC259" s="3">
        <f t="shared" si="14"/>
        <v>380</v>
      </c>
      <c r="AD259" s="3">
        <v>5</v>
      </c>
      <c r="AE259" s="16">
        <f t="shared" si="15"/>
        <v>1.2987012987012988E-2</v>
      </c>
    </row>
    <row r="260" spans="1:31" x14ac:dyDescent="0.5">
      <c r="A260" s="3">
        <v>67</v>
      </c>
      <c r="B260" s="3">
        <v>52</v>
      </c>
      <c r="C260" s="3">
        <v>190</v>
      </c>
      <c r="D260" s="3">
        <v>5</v>
      </c>
      <c r="E260" s="3">
        <v>74</v>
      </c>
      <c r="F260" s="3">
        <v>114</v>
      </c>
      <c r="G260" s="3">
        <v>125</v>
      </c>
      <c r="H260" s="16">
        <f t="shared" si="13"/>
        <v>0.65789473684210531</v>
      </c>
      <c r="I260" s="3">
        <v>200</v>
      </c>
      <c r="J260" s="3">
        <v>0</v>
      </c>
      <c r="K260" s="3">
        <v>0</v>
      </c>
      <c r="L260" s="3">
        <v>0</v>
      </c>
      <c r="M260" s="3">
        <v>43</v>
      </c>
      <c r="N260" s="3">
        <v>1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80</v>
      </c>
      <c r="Z260" s="3">
        <v>0</v>
      </c>
      <c r="AA260" s="3">
        <v>0</v>
      </c>
      <c r="AB260" s="3">
        <v>0</v>
      </c>
      <c r="AC260" s="3">
        <f t="shared" si="14"/>
        <v>124</v>
      </c>
      <c r="AD260" s="3">
        <v>1</v>
      </c>
      <c r="AE260" s="16">
        <f t="shared" si="15"/>
        <v>8.0000000000000002E-3</v>
      </c>
    </row>
    <row r="261" spans="1:31" x14ac:dyDescent="0.5">
      <c r="A261" s="3">
        <v>67</v>
      </c>
      <c r="B261" s="3">
        <v>53</v>
      </c>
      <c r="C261" s="3">
        <v>1420</v>
      </c>
      <c r="D261" s="3">
        <v>2</v>
      </c>
      <c r="E261" s="3">
        <v>412</v>
      </c>
      <c r="F261" s="3">
        <v>677</v>
      </c>
      <c r="G261" s="3">
        <v>864</v>
      </c>
      <c r="H261" s="16">
        <f t="shared" si="13"/>
        <v>0.60845070422535208</v>
      </c>
      <c r="I261" s="3">
        <v>1300</v>
      </c>
      <c r="J261" s="3">
        <v>0</v>
      </c>
      <c r="K261" s="3">
        <v>0</v>
      </c>
      <c r="L261" s="3">
        <v>3</v>
      </c>
      <c r="M261" s="3">
        <v>351</v>
      </c>
      <c r="N261" s="3">
        <v>7</v>
      </c>
      <c r="O261" s="3">
        <v>4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476</v>
      </c>
      <c r="Z261" s="3">
        <v>3</v>
      </c>
      <c r="AA261" s="3">
        <v>10</v>
      </c>
      <c r="AB261" s="3">
        <v>6</v>
      </c>
      <c r="AC261" s="3">
        <f t="shared" si="14"/>
        <v>860</v>
      </c>
      <c r="AD261" s="3">
        <v>4</v>
      </c>
      <c r="AE261" s="16">
        <f t="shared" si="15"/>
        <v>4.6296296296296294E-3</v>
      </c>
    </row>
    <row r="262" spans="1:31" x14ac:dyDescent="0.5">
      <c r="A262" s="3">
        <v>67</v>
      </c>
      <c r="B262" s="3">
        <v>54</v>
      </c>
      <c r="C262" s="3">
        <v>537</v>
      </c>
      <c r="D262" s="3">
        <v>4</v>
      </c>
      <c r="E262" s="3">
        <v>156</v>
      </c>
      <c r="F262" s="3">
        <v>304</v>
      </c>
      <c r="G262" s="3">
        <v>380</v>
      </c>
      <c r="H262" s="16">
        <f t="shared" ref="H262:H326" si="18">G262/C262</f>
        <v>0.707635009310987</v>
      </c>
      <c r="I262" s="3">
        <v>500</v>
      </c>
      <c r="J262" s="3">
        <v>0</v>
      </c>
      <c r="K262" s="3">
        <v>0</v>
      </c>
      <c r="L262" s="3">
        <v>1</v>
      </c>
      <c r="M262" s="3">
        <v>160</v>
      </c>
      <c r="N262" s="3">
        <v>1</v>
      </c>
      <c r="O262" s="3">
        <v>4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1</v>
      </c>
      <c r="W262" s="3">
        <v>0</v>
      </c>
      <c r="X262" s="3">
        <v>0</v>
      </c>
      <c r="Y262" s="3">
        <v>208</v>
      </c>
      <c r="Z262" s="3">
        <v>4</v>
      </c>
      <c r="AA262" s="3">
        <v>0</v>
      </c>
      <c r="AB262" s="3">
        <v>1</v>
      </c>
      <c r="AC262" s="3">
        <f t="shared" ref="AC262:AC326" si="19">SUM(J262:AB262)</f>
        <v>380</v>
      </c>
      <c r="AD262" s="3">
        <v>0</v>
      </c>
      <c r="AE262" s="16">
        <f t="shared" ref="AE262:AE326" si="20">AD262/(AC262+AD262)</f>
        <v>0</v>
      </c>
    </row>
    <row r="263" spans="1:31" x14ac:dyDescent="0.5">
      <c r="A263" s="3">
        <v>67</v>
      </c>
      <c r="B263" s="3">
        <v>55</v>
      </c>
      <c r="C263" s="3">
        <v>1378</v>
      </c>
      <c r="D263" s="3">
        <v>4</v>
      </c>
      <c r="E263" s="3">
        <v>326</v>
      </c>
      <c r="F263" s="3">
        <v>584</v>
      </c>
      <c r="G263" s="3">
        <v>732</v>
      </c>
      <c r="H263" s="16">
        <f t="shared" si="18"/>
        <v>0.53120464441219162</v>
      </c>
      <c r="I263" s="3">
        <v>1250</v>
      </c>
      <c r="J263" s="3">
        <v>0</v>
      </c>
      <c r="K263" s="3">
        <v>0</v>
      </c>
      <c r="L263" s="3">
        <v>0</v>
      </c>
      <c r="M263" s="3">
        <v>321</v>
      </c>
      <c r="N263" s="3">
        <v>50</v>
      </c>
      <c r="O263" s="3">
        <v>12</v>
      </c>
      <c r="P263" s="3">
        <v>0</v>
      </c>
      <c r="Q263" s="3">
        <v>0</v>
      </c>
      <c r="R263" s="3">
        <v>1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1</v>
      </c>
      <c r="Y263" s="3">
        <v>334</v>
      </c>
      <c r="Z263" s="3">
        <v>0</v>
      </c>
      <c r="AA263" s="3">
        <v>1</v>
      </c>
      <c r="AB263" s="3">
        <v>4</v>
      </c>
      <c r="AC263" s="3">
        <f t="shared" si="19"/>
        <v>724</v>
      </c>
      <c r="AD263" s="3">
        <v>8</v>
      </c>
      <c r="AE263" s="16">
        <f t="shared" si="20"/>
        <v>1.092896174863388E-2</v>
      </c>
    </row>
    <row r="264" spans="1:31" x14ac:dyDescent="0.5">
      <c r="A264" s="3">
        <v>67</v>
      </c>
      <c r="B264" s="3">
        <v>56</v>
      </c>
      <c r="C264" s="3">
        <v>1432</v>
      </c>
      <c r="D264" s="3">
        <v>4</v>
      </c>
      <c r="E264" s="3">
        <v>284</v>
      </c>
      <c r="F264" s="3">
        <v>567</v>
      </c>
      <c r="G264" s="3">
        <v>766</v>
      </c>
      <c r="H264" s="16">
        <f t="shared" si="18"/>
        <v>0.53491620111731841</v>
      </c>
      <c r="I264" s="3">
        <v>1300</v>
      </c>
      <c r="J264" s="3">
        <v>0</v>
      </c>
      <c r="K264" s="3">
        <v>0</v>
      </c>
      <c r="L264" s="3">
        <v>3</v>
      </c>
      <c r="M264" s="3">
        <v>339</v>
      </c>
      <c r="N264" s="3">
        <v>11</v>
      </c>
      <c r="O264" s="3">
        <v>12</v>
      </c>
      <c r="P264" s="3">
        <v>0</v>
      </c>
      <c r="Q264" s="3">
        <v>2</v>
      </c>
      <c r="R264" s="3">
        <v>0</v>
      </c>
      <c r="S264" s="3">
        <v>0</v>
      </c>
      <c r="T264" s="3">
        <v>0</v>
      </c>
      <c r="U264" s="3">
        <v>1</v>
      </c>
      <c r="V264" s="3">
        <v>0</v>
      </c>
      <c r="W264" s="3">
        <v>2</v>
      </c>
      <c r="X264" s="3">
        <v>0</v>
      </c>
      <c r="Y264" s="3">
        <v>382</v>
      </c>
      <c r="Z264" s="3">
        <v>2</v>
      </c>
      <c r="AA264" s="3">
        <v>1</v>
      </c>
      <c r="AB264" s="3">
        <v>3</v>
      </c>
      <c r="AC264" s="3">
        <f t="shared" si="19"/>
        <v>758</v>
      </c>
      <c r="AD264" s="3">
        <v>8</v>
      </c>
      <c r="AE264" s="16">
        <f t="shared" si="20"/>
        <v>1.0443864229765013E-2</v>
      </c>
    </row>
    <row r="265" spans="1:31" x14ac:dyDescent="0.5">
      <c r="A265" s="3">
        <v>67</v>
      </c>
      <c r="B265" s="3">
        <v>57</v>
      </c>
      <c r="C265" s="3">
        <v>1407</v>
      </c>
      <c r="D265" s="3">
        <v>2</v>
      </c>
      <c r="E265" s="3">
        <v>344</v>
      </c>
      <c r="F265" s="3">
        <v>663</v>
      </c>
      <c r="G265" s="3">
        <v>781</v>
      </c>
      <c r="H265" s="16">
        <f t="shared" si="18"/>
        <v>0.55508173418621176</v>
      </c>
      <c r="I265" s="3">
        <v>1300</v>
      </c>
      <c r="J265" s="3">
        <v>0</v>
      </c>
      <c r="K265" s="3">
        <v>0</v>
      </c>
      <c r="L265" s="3">
        <v>0</v>
      </c>
      <c r="M265" s="3">
        <v>338</v>
      </c>
      <c r="N265" s="3">
        <v>6</v>
      </c>
      <c r="O265" s="3">
        <v>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</v>
      </c>
      <c r="V265" s="3">
        <v>0</v>
      </c>
      <c r="W265" s="3">
        <v>0</v>
      </c>
      <c r="X265" s="3">
        <v>1</v>
      </c>
      <c r="Y265" s="3">
        <v>406</v>
      </c>
      <c r="Z265" s="3">
        <v>5</v>
      </c>
      <c r="AA265" s="3">
        <v>3</v>
      </c>
      <c r="AB265" s="3">
        <v>7</v>
      </c>
      <c r="AC265" s="3">
        <f t="shared" si="19"/>
        <v>769</v>
      </c>
      <c r="AD265" s="3">
        <v>12</v>
      </c>
      <c r="AE265" s="16">
        <f t="shared" si="20"/>
        <v>1.5364916773367477E-2</v>
      </c>
    </row>
    <row r="266" spans="1:31" x14ac:dyDescent="0.5">
      <c r="A266" s="3">
        <v>67</v>
      </c>
      <c r="B266" s="3">
        <v>58</v>
      </c>
      <c r="C266" s="3">
        <v>1014</v>
      </c>
      <c r="D266" s="3">
        <v>6</v>
      </c>
      <c r="E266" s="3">
        <v>177</v>
      </c>
      <c r="F266" s="3">
        <v>382</v>
      </c>
      <c r="G266" s="3">
        <v>506</v>
      </c>
      <c r="H266" s="16">
        <f t="shared" si="18"/>
        <v>0.49901380670611439</v>
      </c>
      <c r="I266" s="3">
        <v>900</v>
      </c>
      <c r="J266" s="3">
        <v>0</v>
      </c>
      <c r="K266" s="3">
        <v>0</v>
      </c>
      <c r="L266" s="3">
        <v>1</v>
      </c>
      <c r="M266" s="3">
        <v>202</v>
      </c>
      <c r="N266" s="3">
        <v>3</v>
      </c>
      <c r="O266" s="3">
        <v>1</v>
      </c>
      <c r="P266" s="3">
        <v>0</v>
      </c>
      <c r="Q266" s="3">
        <v>1</v>
      </c>
      <c r="R266" s="3">
        <v>0</v>
      </c>
      <c r="S266" s="3">
        <v>0</v>
      </c>
      <c r="T266" s="3">
        <v>1</v>
      </c>
      <c r="U266" s="3">
        <v>0</v>
      </c>
      <c r="V266" s="3">
        <v>0</v>
      </c>
      <c r="W266" s="3">
        <v>1</v>
      </c>
      <c r="X266" s="3">
        <v>0</v>
      </c>
      <c r="Y266" s="3">
        <v>285</v>
      </c>
      <c r="Z266" s="3">
        <v>3</v>
      </c>
      <c r="AA266" s="3">
        <v>1</v>
      </c>
      <c r="AB266" s="3">
        <v>1</v>
      </c>
      <c r="AC266" s="3">
        <f t="shared" si="19"/>
        <v>500</v>
      </c>
      <c r="AD266" s="3">
        <v>6</v>
      </c>
      <c r="AE266" s="16">
        <f t="shared" si="20"/>
        <v>1.1857707509881422E-2</v>
      </c>
    </row>
    <row r="267" spans="1:31" x14ac:dyDescent="0.5">
      <c r="A267" s="3">
        <v>67</v>
      </c>
      <c r="B267" s="3">
        <v>59</v>
      </c>
      <c r="C267" s="3">
        <v>1480</v>
      </c>
      <c r="D267" s="3">
        <v>4</v>
      </c>
      <c r="E267" s="3">
        <v>293</v>
      </c>
      <c r="F267" s="3">
        <v>550</v>
      </c>
      <c r="G267" s="3">
        <v>717</v>
      </c>
      <c r="H267" s="16">
        <f t="shared" si="18"/>
        <v>0.48445945945945945</v>
      </c>
      <c r="I267" s="3">
        <v>1350</v>
      </c>
      <c r="J267" s="3">
        <v>0</v>
      </c>
      <c r="K267" s="3">
        <v>0</v>
      </c>
      <c r="L267" s="3">
        <v>1</v>
      </c>
      <c r="M267" s="3">
        <v>340</v>
      </c>
      <c r="N267" s="3">
        <v>8</v>
      </c>
      <c r="O267" s="3">
        <v>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1</v>
      </c>
      <c r="Y267" s="3">
        <v>345</v>
      </c>
      <c r="Z267" s="3">
        <v>4</v>
      </c>
      <c r="AA267" s="3">
        <v>1</v>
      </c>
      <c r="AB267" s="3">
        <v>2</v>
      </c>
      <c r="AC267" s="3">
        <f t="shared" si="19"/>
        <v>704</v>
      </c>
      <c r="AD267" s="3">
        <v>13</v>
      </c>
      <c r="AE267" s="16">
        <f t="shared" si="20"/>
        <v>1.813110181311018E-2</v>
      </c>
    </row>
    <row r="268" spans="1:31" x14ac:dyDescent="0.5">
      <c r="A268" s="3">
        <v>67</v>
      </c>
      <c r="B268" s="3">
        <v>60</v>
      </c>
      <c r="C268" s="3">
        <v>1406</v>
      </c>
      <c r="D268" s="3">
        <v>6</v>
      </c>
      <c r="E268" s="3">
        <v>214</v>
      </c>
      <c r="F268" s="3">
        <v>515</v>
      </c>
      <c r="G268" s="3">
        <v>610</v>
      </c>
      <c r="H268" s="16">
        <f t="shared" si="18"/>
        <v>0.43385490753911804</v>
      </c>
      <c r="I268" s="3">
        <v>1300</v>
      </c>
      <c r="J268" s="3">
        <v>1</v>
      </c>
      <c r="K268" s="3">
        <v>0</v>
      </c>
      <c r="L268" s="3">
        <v>1</v>
      </c>
      <c r="M268" s="3">
        <v>267</v>
      </c>
      <c r="N268" s="3">
        <v>6</v>
      </c>
      <c r="O268" s="3">
        <v>4</v>
      </c>
      <c r="P268" s="3">
        <v>0</v>
      </c>
      <c r="Q268" s="3">
        <v>5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1</v>
      </c>
      <c r="Y268" s="3">
        <v>312</v>
      </c>
      <c r="Z268" s="3">
        <v>1</v>
      </c>
      <c r="AA268" s="3">
        <v>1</v>
      </c>
      <c r="AB268" s="3">
        <v>4</v>
      </c>
      <c r="AC268" s="3">
        <f t="shared" si="19"/>
        <v>603</v>
      </c>
      <c r="AD268" s="3">
        <v>7</v>
      </c>
      <c r="AE268" s="16">
        <f t="shared" si="20"/>
        <v>1.1475409836065573E-2</v>
      </c>
    </row>
    <row r="269" spans="1:31" x14ac:dyDescent="0.5">
      <c r="A269" s="3">
        <v>67</v>
      </c>
      <c r="B269" s="3">
        <v>61</v>
      </c>
      <c r="C269" s="3">
        <v>1172</v>
      </c>
      <c r="D269" s="3">
        <v>2</v>
      </c>
      <c r="E269" s="3">
        <v>263</v>
      </c>
      <c r="F269" s="3">
        <v>532</v>
      </c>
      <c r="G269" s="3">
        <v>677</v>
      </c>
      <c r="H269" s="16">
        <f t="shared" si="18"/>
        <v>0.57764505119453924</v>
      </c>
      <c r="I269" s="3">
        <v>1100</v>
      </c>
      <c r="J269" s="3">
        <v>0</v>
      </c>
      <c r="K269" s="3">
        <v>0</v>
      </c>
      <c r="L269" s="3">
        <v>1</v>
      </c>
      <c r="M269" s="3">
        <v>318</v>
      </c>
      <c r="N269" s="3">
        <v>12</v>
      </c>
      <c r="O269" s="3">
        <v>9</v>
      </c>
      <c r="P269" s="3">
        <v>0</v>
      </c>
      <c r="Q269" s="3">
        <v>1</v>
      </c>
      <c r="R269" s="3">
        <v>1</v>
      </c>
      <c r="S269" s="3">
        <v>0</v>
      </c>
      <c r="T269" s="3">
        <v>0</v>
      </c>
      <c r="U269" s="3">
        <v>0</v>
      </c>
      <c r="V269" s="3">
        <v>1</v>
      </c>
      <c r="W269" s="3">
        <v>0</v>
      </c>
      <c r="X269" s="3">
        <v>1</v>
      </c>
      <c r="Y269" s="3">
        <v>321</v>
      </c>
      <c r="Z269" s="3">
        <v>0</v>
      </c>
      <c r="AA269" s="3">
        <v>0</v>
      </c>
      <c r="AB269" s="3">
        <v>5</v>
      </c>
      <c r="AC269" s="3">
        <f t="shared" si="19"/>
        <v>670</v>
      </c>
      <c r="AD269" s="3">
        <v>7</v>
      </c>
      <c r="AE269" s="16">
        <f t="shared" si="20"/>
        <v>1.03397341211226E-2</v>
      </c>
    </row>
    <row r="270" spans="1:31" x14ac:dyDescent="0.5">
      <c r="A270" s="3">
        <v>67</v>
      </c>
      <c r="B270" s="3">
        <v>62</v>
      </c>
      <c r="C270" s="3">
        <v>1295</v>
      </c>
      <c r="D270" s="3">
        <v>2</v>
      </c>
      <c r="E270" s="3">
        <v>269</v>
      </c>
      <c r="F270" s="3">
        <v>537</v>
      </c>
      <c r="G270" s="3">
        <v>689</v>
      </c>
      <c r="H270" s="16">
        <f t="shared" si="18"/>
        <v>0.532046332046332</v>
      </c>
      <c r="I270" s="3">
        <v>1200</v>
      </c>
      <c r="J270" s="3">
        <v>0</v>
      </c>
      <c r="K270" s="3">
        <v>0</v>
      </c>
      <c r="L270" s="3">
        <v>1</v>
      </c>
      <c r="M270" s="3">
        <v>291</v>
      </c>
      <c r="N270" s="3">
        <v>0</v>
      </c>
      <c r="O270" s="3">
        <v>4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1</v>
      </c>
      <c r="X270" s="3">
        <v>0</v>
      </c>
      <c r="Y270" s="3">
        <v>377</v>
      </c>
      <c r="Z270" s="3">
        <v>0</v>
      </c>
      <c r="AA270" s="3">
        <v>1</v>
      </c>
      <c r="AB270" s="3">
        <v>0</v>
      </c>
      <c r="AC270" s="3">
        <f t="shared" si="19"/>
        <v>675</v>
      </c>
      <c r="AD270" s="3">
        <v>14</v>
      </c>
      <c r="AE270" s="16">
        <f t="shared" si="20"/>
        <v>2.0319303338171262E-2</v>
      </c>
    </row>
    <row r="271" spans="1:31" x14ac:dyDescent="0.5">
      <c r="A271" s="3">
        <v>67</v>
      </c>
      <c r="B271" s="3">
        <v>63</v>
      </c>
      <c r="C271" s="3">
        <v>1044</v>
      </c>
      <c r="D271" s="3">
        <v>9</v>
      </c>
      <c r="E271" s="3">
        <v>243</v>
      </c>
      <c r="F271" s="3">
        <v>379</v>
      </c>
      <c r="G271" s="3">
        <v>502</v>
      </c>
      <c r="H271" s="16">
        <f t="shared" si="18"/>
        <v>0.48084291187739464</v>
      </c>
      <c r="I271" s="3">
        <v>950</v>
      </c>
      <c r="J271" s="3">
        <v>1</v>
      </c>
      <c r="K271" s="3">
        <v>0</v>
      </c>
      <c r="L271" s="3">
        <v>0</v>
      </c>
      <c r="M271" s="3">
        <v>251</v>
      </c>
      <c r="N271" s="3">
        <v>0</v>
      </c>
      <c r="O271" s="3">
        <v>7</v>
      </c>
      <c r="P271" s="3">
        <v>0</v>
      </c>
      <c r="Q271" s="3">
        <v>0</v>
      </c>
      <c r="R271" s="3">
        <v>0</v>
      </c>
      <c r="S271" s="3">
        <v>0</v>
      </c>
      <c r="T271" s="3">
        <v>1</v>
      </c>
      <c r="U271" s="3">
        <v>0</v>
      </c>
      <c r="V271" s="3">
        <v>0</v>
      </c>
      <c r="W271" s="3">
        <v>0</v>
      </c>
      <c r="X271" s="3">
        <v>0</v>
      </c>
      <c r="Y271" s="3">
        <v>224</v>
      </c>
      <c r="Z271" s="3">
        <v>2</v>
      </c>
      <c r="AA271" s="3">
        <v>0</v>
      </c>
      <c r="AB271" s="3">
        <v>2</v>
      </c>
      <c r="AC271" s="3">
        <f t="shared" si="19"/>
        <v>488</v>
      </c>
      <c r="AD271" s="3">
        <v>14</v>
      </c>
      <c r="AE271" s="16">
        <f t="shared" si="20"/>
        <v>2.7888446215139442E-2</v>
      </c>
    </row>
    <row r="272" spans="1:31" x14ac:dyDescent="0.5">
      <c r="A272" s="3">
        <v>67</v>
      </c>
      <c r="B272" s="3">
        <v>64</v>
      </c>
      <c r="C272" s="3">
        <v>1405</v>
      </c>
      <c r="D272" s="3">
        <v>5</v>
      </c>
      <c r="E272" s="3">
        <v>181</v>
      </c>
      <c r="F272" s="3">
        <v>371</v>
      </c>
      <c r="G272" s="3">
        <v>488</v>
      </c>
      <c r="H272" s="16">
        <f t="shared" si="18"/>
        <v>0.34733096085409254</v>
      </c>
      <c r="I272" s="3">
        <v>1250</v>
      </c>
      <c r="J272" s="3">
        <v>0</v>
      </c>
      <c r="K272" s="3">
        <v>0</v>
      </c>
      <c r="L272" s="3">
        <v>0</v>
      </c>
      <c r="M272" s="3">
        <v>249</v>
      </c>
      <c r="N272" s="3">
        <v>5</v>
      </c>
      <c r="O272" s="3">
        <v>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</v>
      </c>
      <c r="V272" s="3">
        <v>0</v>
      </c>
      <c r="W272" s="3">
        <v>1</v>
      </c>
      <c r="X272" s="3">
        <v>0</v>
      </c>
      <c r="Y272" s="3">
        <v>221</v>
      </c>
      <c r="Z272" s="3">
        <v>6</v>
      </c>
      <c r="AA272" s="3">
        <v>0</v>
      </c>
      <c r="AB272" s="3">
        <v>1</v>
      </c>
      <c r="AC272" s="3">
        <f t="shared" si="19"/>
        <v>486</v>
      </c>
      <c r="AD272" s="3">
        <v>2</v>
      </c>
      <c r="AE272" s="16">
        <f t="shared" si="20"/>
        <v>4.0983606557377051E-3</v>
      </c>
    </row>
    <row r="273" spans="1:31" x14ac:dyDescent="0.5">
      <c r="A273" s="3">
        <v>67</v>
      </c>
      <c r="B273" s="3">
        <v>65</v>
      </c>
      <c r="C273" s="3">
        <v>1527</v>
      </c>
      <c r="D273" s="3">
        <v>4</v>
      </c>
      <c r="E273" s="3">
        <v>270</v>
      </c>
      <c r="F273" s="3">
        <v>497</v>
      </c>
      <c r="G273" s="3">
        <v>618</v>
      </c>
      <c r="H273" s="16">
        <f t="shared" si="18"/>
        <v>0.40471512770137524</v>
      </c>
      <c r="I273" s="3">
        <v>1400</v>
      </c>
      <c r="J273" s="3">
        <v>1</v>
      </c>
      <c r="K273" s="3">
        <v>0</v>
      </c>
      <c r="L273" s="3">
        <v>0</v>
      </c>
      <c r="M273" s="3">
        <v>290</v>
      </c>
      <c r="N273" s="3">
        <v>2</v>
      </c>
      <c r="O273" s="3">
        <v>3</v>
      </c>
      <c r="P273" s="3">
        <v>0</v>
      </c>
      <c r="Q273" s="3">
        <v>1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1</v>
      </c>
      <c r="X273" s="3">
        <v>0</v>
      </c>
      <c r="Y273" s="3">
        <v>314</v>
      </c>
      <c r="Z273" s="3">
        <v>0</v>
      </c>
      <c r="AA273" s="3">
        <v>3</v>
      </c>
      <c r="AB273" s="3">
        <v>0</v>
      </c>
      <c r="AC273" s="3">
        <f t="shared" si="19"/>
        <v>615</v>
      </c>
      <c r="AD273" s="3">
        <v>3</v>
      </c>
      <c r="AE273" s="16">
        <f t="shared" si="20"/>
        <v>4.8543689320388345E-3</v>
      </c>
    </row>
    <row r="274" spans="1:31" x14ac:dyDescent="0.5">
      <c r="A274" s="3">
        <v>67</v>
      </c>
      <c r="B274" s="3">
        <v>66</v>
      </c>
      <c r="C274" s="3">
        <v>725</v>
      </c>
      <c r="D274" s="3">
        <v>6</v>
      </c>
      <c r="E274" s="3">
        <v>137</v>
      </c>
      <c r="F274" s="3">
        <v>256</v>
      </c>
      <c r="G274" s="3">
        <v>290</v>
      </c>
      <c r="H274" s="24">
        <f t="shared" si="18"/>
        <v>0.4</v>
      </c>
      <c r="I274" s="3">
        <v>650</v>
      </c>
      <c r="J274" s="3">
        <v>0</v>
      </c>
      <c r="K274" s="3">
        <v>0</v>
      </c>
      <c r="L274" s="3">
        <v>2</v>
      </c>
      <c r="M274" s="3">
        <v>139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142</v>
      </c>
      <c r="Z274" s="3">
        <v>2</v>
      </c>
      <c r="AA274" s="3">
        <v>2</v>
      </c>
      <c r="AB274" s="3">
        <v>0</v>
      </c>
      <c r="AC274" s="3">
        <f t="shared" si="19"/>
        <v>287</v>
      </c>
      <c r="AD274" s="3">
        <v>3</v>
      </c>
      <c r="AE274" s="16">
        <f t="shared" si="20"/>
        <v>1.0344827586206896E-2</v>
      </c>
    </row>
    <row r="275" spans="1:31" x14ac:dyDescent="0.5">
      <c r="A275" s="3">
        <v>67</v>
      </c>
      <c r="B275" s="3">
        <v>67</v>
      </c>
      <c r="C275" s="3">
        <v>795</v>
      </c>
      <c r="D275" s="3">
        <v>2</v>
      </c>
      <c r="E275" s="3">
        <v>196</v>
      </c>
      <c r="F275" s="3">
        <v>346</v>
      </c>
      <c r="G275" s="3">
        <v>457</v>
      </c>
      <c r="H275" s="16">
        <f t="shared" si="18"/>
        <v>0.57484276729559747</v>
      </c>
      <c r="I275" s="3">
        <v>700</v>
      </c>
      <c r="J275" s="3">
        <v>0</v>
      </c>
      <c r="K275" s="3">
        <v>0</v>
      </c>
      <c r="L275" s="3">
        <v>0</v>
      </c>
      <c r="M275" s="3">
        <v>165</v>
      </c>
      <c r="N275" s="3">
        <v>1</v>
      </c>
      <c r="O275" s="3">
        <v>1</v>
      </c>
      <c r="P275" s="3">
        <v>0</v>
      </c>
      <c r="Q275" s="3">
        <v>1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284</v>
      </c>
      <c r="Z275" s="3">
        <v>0</v>
      </c>
      <c r="AA275" s="3">
        <v>1</v>
      </c>
      <c r="AB275" s="3">
        <v>0</v>
      </c>
      <c r="AC275" s="3">
        <f t="shared" si="19"/>
        <v>453</v>
      </c>
      <c r="AD275" s="3">
        <v>4</v>
      </c>
      <c r="AE275" s="16">
        <f t="shared" si="20"/>
        <v>8.7527352297592995E-3</v>
      </c>
    </row>
    <row r="276" spans="1:31" x14ac:dyDescent="0.5">
      <c r="A276" s="3">
        <v>67</v>
      </c>
      <c r="B276" s="3">
        <v>68</v>
      </c>
      <c r="C276" s="3">
        <v>1335</v>
      </c>
      <c r="D276" s="3">
        <v>2</v>
      </c>
      <c r="E276" s="3">
        <v>319</v>
      </c>
      <c r="F276" s="3">
        <v>621</v>
      </c>
      <c r="G276" s="3">
        <v>791</v>
      </c>
      <c r="H276" s="16">
        <f t="shared" si="18"/>
        <v>0.59250936329588011</v>
      </c>
      <c r="I276" s="3">
        <v>1250</v>
      </c>
      <c r="J276" s="3">
        <v>2</v>
      </c>
      <c r="K276" s="3">
        <v>0</v>
      </c>
      <c r="L276" s="3">
        <v>1</v>
      </c>
      <c r="M276" s="3">
        <v>313</v>
      </c>
      <c r="N276" s="3">
        <v>2</v>
      </c>
      <c r="O276" s="3">
        <v>7</v>
      </c>
      <c r="P276" s="3">
        <v>0</v>
      </c>
      <c r="Q276" s="3">
        <v>1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1</v>
      </c>
      <c r="Y276" s="3">
        <v>435</v>
      </c>
      <c r="Z276" s="3">
        <v>5</v>
      </c>
      <c r="AA276" s="3">
        <v>2</v>
      </c>
      <c r="AB276" s="3">
        <v>3</v>
      </c>
      <c r="AC276" s="3">
        <f t="shared" si="19"/>
        <v>772</v>
      </c>
      <c r="AD276" s="3">
        <v>19</v>
      </c>
      <c r="AE276" s="16">
        <f t="shared" si="20"/>
        <v>2.402022756005057E-2</v>
      </c>
    </row>
    <row r="277" spans="1:31" x14ac:dyDescent="0.5">
      <c r="A277" s="3">
        <v>67</v>
      </c>
      <c r="B277" s="3">
        <v>69</v>
      </c>
      <c r="C277" s="3">
        <v>1177</v>
      </c>
      <c r="D277" s="3">
        <v>3</v>
      </c>
      <c r="E277" s="3">
        <v>260</v>
      </c>
      <c r="F277" s="3">
        <v>504</v>
      </c>
      <c r="G277" s="3">
        <v>632</v>
      </c>
      <c r="H277" s="16">
        <f t="shared" si="18"/>
        <v>0.53695836873406966</v>
      </c>
      <c r="I277" s="3">
        <v>1100</v>
      </c>
      <c r="J277" s="3">
        <v>0</v>
      </c>
      <c r="K277" s="3">
        <v>0</v>
      </c>
      <c r="L277" s="3">
        <v>0</v>
      </c>
      <c r="M277" s="3">
        <v>280</v>
      </c>
      <c r="N277" s="3">
        <v>4</v>
      </c>
      <c r="O277" s="3">
        <v>3</v>
      </c>
      <c r="P277" s="3">
        <v>0</v>
      </c>
      <c r="Q277" s="3">
        <v>1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330</v>
      </c>
      <c r="Z277" s="3">
        <v>1</v>
      </c>
      <c r="AA277" s="3">
        <v>3</v>
      </c>
      <c r="AB277" s="3">
        <v>0</v>
      </c>
      <c r="AC277" s="3">
        <f t="shared" si="19"/>
        <v>622</v>
      </c>
      <c r="AD277" s="3">
        <v>8</v>
      </c>
      <c r="AE277" s="16">
        <f t="shared" si="20"/>
        <v>1.2698412698412698E-2</v>
      </c>
    </row>
    <row r="278" spans="1:31" x14ac:dyDescent="0.5">
      <c r="A278" s="3">
        <v>67</v>
      </c>
      <c r="B278" s="3">
        <v>70</v>
      </c>
      <c r="C278" s="3">
        <v>1013</v>
      </c>
      <c r="D278" s="3">
        <v>3</v>
      </c>
      <c r="E278" s="3">
        <v>275</v>
      </c>
      <c r="F278" s="3">
        <v>488</v>
      </c>
      <c r="G278" s="3">
        <v>628</v>
      </c>
      <c r="H278" s="16">
        <f t="shared" si="18"/>
        <v>0.61994076999012837</v>
      </c>
      <c r="I278" s="3">
        <v>950</v>
      </c>
      <c r="J278" s="3">
        <v>0</v>
      </c>
      <c r="K278" s="3">
        <v>0</v>
      </c>
      <c r="L278" s="3">
        <v>2</v>
      </c>
      <c r="M278" s="3">
        <v>241</v>
      </c>
      <c r="N278" s="3">
        <v>2</v>
      </c>
      <c r="O278" s="3">
        <v>3</v>
      </c>
      <c r="P278" s="3">
        <v>0</v>
      </c>
      <c r="Q278" s="3">
        <v>1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3</v>
      </c>
      <c r="X278" s="3">
        <v>0</v>
      </c>
      <c r="Y278" s="3">
        <v>356</v>
      </c>
      <c r="Z278" s="3">
        <v>2</v>
      </c>
      <c r="AA278" s="3">
        <v>1</v>
      </c>
      <c r="AB278" s="3">
        <v>4</v>
      </c>
      <c r="AC278" s="3">
        <f t="shared" si="19"/>
        <v>615</v>
      </c>
      <c r="AD278" s="3">
        <v>13</v>
      </c>
      <c r="AE278" s="16">
        <f t="shared" si="20"/>
        <v>2.0700636942675158E-2</v>
      </c>
    </row>
    <row r="279" spans="1:31" x14ac:dyDescent="0.5">
      <c r="A279" s="3">
        <v>67</v>
      </c>
      <c r="B279" s="3">
        <v>71</v>
      </c>
      <c r="C279" s="3">
        <v>970</v>
      </c>
      <c r="D279" s="3">
        <v>0</v>
      </c>
      <c r="E279" s="3">
        <v>183</v>
      </c>
      <c r="F279" s="3">
        <v>349</v>
      </c>
      <c r="G279" s="3">
        <v>460</v>
      </c>
      <c r="H279" s="16">
        <f t="shared" si="18"/>
        <v>0.47422680412371132</v>
      </c>
      <c r="I279" s="3">
        <v>900</v>
      </c>
      <c r="J279" s="3">
        <v>0</v>
      </c>
      <c r="K279" s="3">
        <v>0</v>
      </c>
      <c r="L279" s="3">
        <v>1</v>
      </c>
      <c r="M279" s="3">
        <v>128</v>
      </c>
      <c r="N279" s="3">
        <v>3</v>
      </c>
      <c r="O279" s="3">
        <v>6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2</v>
      </c>
      <c r="V279" s="3">
        <v>0</v>
      </c>
      <c r="W279" s="3">
        <v>0</v>
      </c>
      <c r="X279" s="3">
        <v>2</v>
      </c>
      <c r="Y279" s="3">
        <v>303</v>
      </c>
      <c r="Z279" s="3">
        <v>3</v>
      </c>
      <c r="AA279" s="3">
        <v>3</v>
      </c>
      <c r="AB279" s="3">
        <v>4</v>
      </c>
      <c r="AC279" s="3">
        <f t="shared" si="19"/>
        <v>455</v>
      </c>
      <c r="AD279" s="3">
        <v>4</v>
      </c>
      <c r="AE279" s="16">
        <f t="shared" si="20"/>
        <v>8.7145969498910684E-3</v>
      </c>
    </row>
    <row r="280" spans="1:31" x14ac:dyDescent="0.5">
      <c r="A280" s="3">
        <v>67</v>
      </c>
      <c r="B280" s="3">
        <v>72</v>
      </c>
      <c r="C280" s="3">
        <v>957</v>
      </c>
      <c r="D280" s="3">
        <v>10</v>
      </c>
      <c r="E280" s="3">
        <v>221</v>
      </c>
      <c r="F280" s="3">
        <v>365</v>
      </c>
      <c r="G280" s="3">
        <v>451</v>
      </c>
      <c r="H280" s="16">
        <f t="shared" si="18"/>
        <v>0.47126436781609193</v>
      </c>
      <c r="I280" s="3">
        <v>850</v>
      </c>
      <c r="J280" s="3">
        <v>0</v>
      </c>
      <c r="K280" s="3">
        <v>0</v>
      </c>
      <c r="L280" s="3">
        <v>0</v>
      </c>
      <c r="M280" s="3">
        <v>208</v>
      </c>
      <c r="N280" s="3">
        <v>4</v>
      </c>
      <c r="O280" s="3">
        <v>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230</v>
      </c>
      <c r="Z280" s="3">
        <v>0</v>
      </c>
      <c r="AA280" s="3">
        <v>0</v>
      </c>
      <c r="AB280" s="3">
        <v>4</v>
      </c>
      <c r="AC280" s="3">
        <f t="shared" si="19"/>
        <v>448</v>
      </c>
      <c r="AD280" s="3">
        <v>3</v>
      </c>
      <c r="AE280" s="16">
        <f t="shared" si="20"/>
        <v>6.6518847006651885E-3</v>
      </c>
    </row>
    <row r="281" spans="1:31" x14ac:dyDescent="0.5">
      <c r="A281" s="3">
        <v>67</v>
      </c>
      <c r="B281" s="3">
        <v>73</v>
      </c>
      <c r="C281" s="3">
        <v>969</v>
      </c>
      <c r="D281" s="3">
        <v>6</v>
      </c>
      <c r="E281" s="3">
        <v>170</v>
      </c>
      <c r="F281" s="3">
        <v>350</v>
      </c>
      <c r="G281" s="3">
        <v>432</v>
      </c>
      <c r="H281" s="16">
        <f t="shared" si="18"/>
        <v>0.44582043343653249</v>
      </c>
      <c r="I281" s="3">
        <v>850</v>
      </c>
      <c r="J281" s="3">
        <v>0</v>
      </c>
      <c r="K281" s="3">
        <v>0</v>
      </c>
      <c r="L281" s="3">
        <v>1</v>
      </c>
      <c r="M281" s="3">
        <v>221</v>
      </c>
      <c r="N281" s="3">
        <v>4</v>
      </c>
      <c r="O281" s="3">
        <v>2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189</v>
      </c>
      <c r="Z281" s="3">
        <v>0</v>
      </c>
      <c r="AA281" s="3">
        <v>1</v>
      </c>
      <c r="AB281" s="3">
        <v>0</v>
      </c>
      <c r="AC281" s="3">
        <f t="shared" si="19"/>
        <v>418</v>
      </c>
      <c r="AD281" s="3">
        <v>14</v>
      </c>
      <c r="AE281" s="16">
        <f t="shared" si="20"/>
        <v>3.2407407407407406E-2</v>
      </c>
    </row>
    <row r="282" spans="1:31" x14ac:dyDescent="0.5">
      <c r="A282" s="3">
        <v>67</v>
      </c>
      <c r="B282" s="3">
        <v>74</v>
      </c>
      <c r="C282" s="3">
        <v>822</v>
      </c>
      <c r="D282" s="3">
        <v>1</v>
      </c>
      <c r="E282" s="3">
        <v>208</v>
      </c>
      <c r="F282" s="3">
        <v>373</v>
      </c>
      <c r="G282" s="3">
        <v>486</v>
      </c>
      <c r="H282" s="16">
        <f t="shared" si="18"/>
        <v>0.59124087591240881</v>
      </c>
      <c r="I282" s="3">
        <v>750</v>
      </c>
      <c r="J282" s="3">
        <v>0</v>
      </c>
      <c r="K282" s="3">
        <v>0</v>
      </c>
      <c r="L282" s="3">
        <v>0</v>
      </c>
      <c r="M282" s="3">
        <v>175</v>
      </c>
      <c r="N282" s="3">
        <v>4</v>
      </c>
      <c r="O282" s="3">
        <v>5</v>
      </c>
      <c r="P282" s="3">
        <v>0</v>
      </c>
      <c r="Q282" s="3">
        <v>1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288</v>
      </c>
      <c r="Z282" s="3">
        <v>4</v>
      </c>
      <c r="AA282" s="3">
        <v>0</v>
      </c>
      <c r="AB282" s="3">
        <v>1</v>
      </c>
      <c r="AC282" s="3">
        <f t="shared" si="19"/>
        <v>478</v>
      </c>
      <c r="AD282" s="3">
        <v>8</v>
      </c>
      <c r="AE282" s="16">
        <f t="shared" si="20"/>
        <v>1.646090534979424E-2</v>
      </c>
    </row>
    <row r="283" spans="1:31" x14ac:dyDescent="0.5">
      <c r="A283" s="3">
        <v>67</v>
      </c>
      <c r="B283" s="3">
        <v>75</v>
      </c>
      <c r="C283" s="3">
        <v>1241</v>
      </c>
      <c r="D283" s="3">
        <v>2</v>
      </c>
      <c r="E283" s="3">
        <v>252</v>
      </c>
      <c r="F283" s="3">
        <v>615</v>
      </c>
      <c r="G283" s="3">
        <v>774</v>
      </c>
      <c r="H283" s="16">
        <f t="shared" si="18"/>
        <v>0.62369057211925871</v>
      </c>
      <c r="I283" s="3">
        <v>1150</v>
      </c>
      <c r="J283" s="3">
        <v>2</v>
      </c>
      <c r="K283" s="3">
        <v>0</v>
      </c>
      <c r="L283" s="3">
        <v>1</v>
      </c>
      <c r="M283" s="3">
        <v>292</v>
      </c>
      <c r="N283" s="3">
        <v>8</v>
      </c>
      <c r="O283" s="3">
        <v>3</v>
      </c>
      <c r="P283" s="3">
        <v>0</v>
      </c>
      <c r="Q283" s="3">
        <v>0</v>
      </c>
      <c r="R283" s="3">
        <v>1</v>
      </c>
      <c r="S283" s="3">
        <v>0</v>
      </c>
      <c r="T283" s="3">
        <v>0</v>
      </c>
      <c r="U283" s="3">
        <v>0</v>
      </c>
      <c r="V283" s="3">
        <v>1</v>
      </c>
      <c r="W283" s="3">
        <v>1</v>
      </c>
      <c r="X283" s="3">
        <v>2</v>
      </c>
      <c r="Y283" s="3">
        <v>449</v>
      </c>
      <c r="Z283" s="3">
        <v>1</v>
      </c>
      <c r="AA283" s="3">
        <v>0</v>
      </c>
      <c r="AB283" s="3">
        <v>4</v>
      </c>
      <c r="AC283" s="3">
        <f t="shared" si="19"/>
        <v>765</v>
      </c>
      <c r="AD283" s="3">
        <v>9</v>
      </c>
      <c r="AE283" s="16">
        <f t="shared" si="20"/>
        <v>1.1627906976744186E-2</v>
      </c>
    </row>
    <row r="284" spans="1:31" x14ac:dyDescent="0.5">
      <c r="A284" s="3">
        <v>67</v>
      </c>
      <c r="B284" s="3">
        <v>76</v>
      </c>
      <c r="C284" s="3">
        <v>1466</v>
      </c>
      <c r="D284" s="3">
        <v>5</v>
      </c>
      <c r="E284" s="3">
        <v>271</v>
      </c>
      <c r="F284" s="3">
        <v>574</v>
      </c>
      <c r="G284" s="3">
        <v>697</v>
      </c>
      <c r="H284" s="16">
        <f t="shared" si="18"/>
        <v>0.47544338335607095</v>
      </c>
      <c r="I284" s="3">
        <v>1350</v>
      </c>
      <c r="J284" s="3">
        <v>0</v>
      </c>
      <c r="K284" s="3">
        <v>0</v>
      </c>
      <c r="L284" s="3">
        <v>0</v>
      </c>
      <c r="M284" s="3">
        <v>269</v>
      </c>
      <c r="N284" s="3">
        <v>0</v>
      </c>
      <c r="O284" s="3">
        <v>0</v>
      </c>
      <c r="P284" s="3">
        <v>0</v>
      </c>
      <c r="Q284" s="3">
        <v>0</v>
      </c>
      <c r="R284" s="3">
        <v>1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415</v>
      </c>
      <c r="Z284" s="3">
        <v>1</v>
      </c>
      <c r="AA284" s="3">
        <v>3</v>
      </c>
      <c r="AB284" s="3">
        <v>1</v>
      </c>
      <c r="AC284" s="3">
        <f t="shared" si="19"/>
        <v>690</v>
      </c>
      <c r="AD284" s="3">
        <v>7</v>
      </c>
      <c r="AE284" s="16">
        <f t="shared" si="20"/>
        <v>1.0043041606886656E-2</v>
      </c>
    </row>
    <row r="285" spans="1:31" x14ac:dyDescent="0.5">
      <c r="A285" s="3">
        <v>67</v>
      </c>
      <c r="B285" s="3">
        <v>77</v>
      </c>
      <c r="C285" s="3">
        <v>1325</v>
      </c>
      <c r="D285" s="3">
        <v>3</v>
      </c>
      <c r="E285" s="3">
        <v>262</v>
      </c>
      <c r="F285" s="3">
        <v>503</v>
      </c>
      <c r="G285" s="3">
        <v>613</v>
      </c>
      <c r="H285" s="16">
        <f t="shared" si="18"/>
        <v>0.46264150943396226</v>
      </c>
      <c r="I285" s="3">
        <v>1200</v>
      </c>
      <c r="J285" s="3">
        <v>0</v>
      </c>
      <c r="K285" s="3">
        <v>0</v>
      </c>
      <c r="L285" s="3">
        <v>1</v>
      </c>
      <c r="M285" s="3">
        <v>314</v>
      </c>
      <c r="N285" s="3">
        <v>2</v>
      </c>
      <c r="O285" s="3">
        <v>4</v>
      </c>
      <c r="P285" s="3">
        <v>0</v>
      </c>
      <c r="Q285" s="3">
        <v>1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1</v>
      </c>
      <c r="Y285" s="3">
        <v>282</v>
      </c>
      <c r="Z285" s="3">
        <v>2</v>
      </c>
      <c r="AA285" s="3">
        <v>2</v>
      </c>
      <c r="AB285" s="3">
        <v>0</v>
      </c>
      <c r="AC285" s="3">
        <f t="shared" si="19"/>
        <v>609</v>
      </c>
      <c r="AD285" s="3">
        <v>4</v>
      </c>
      <c r="AE285" s="16">
        <f t="shared" si="20"/>
        <v>6.5252854812398045E-3</v>
      </c>
    </row>
    <row r="286" spans="1:31" x14ac:dyDescent="0.5">
      <c r="A286" s="3">
        <v>67</v>
      </c>
      <c r="B286" s="3">
        <v>78</v>
      </c>
      <c r="C286" s="3">
        <v>921</v>
      </c>
      <c r="D286" s="3">
        <v>5</v>
      </c>
      <c r="E286" s="3">
        <v>209</v>
      </c>
      <c r="F286" s="3">
        <v>333</v>
      </c>
      <c r="G286" s="3">
        <v>416</v>
      </c>
      <c r="H286" s="16">
        <f t="shared" si="18"/>
        <v>0.45168295331161779</v>
      </c>
      <c r="I286" s="3">
        <v>850</v>
      </c>
      <c r="J286" s="3">
        <v>1</v>
      </c>
      <c r="K286" s="3">
        <v>0</v>
      </c>
      <c r="L286" s="3">
        <v>1</v>
      </c>
      <c r="M286" s="3">
        <v>147</v>
      </c>
      <c r="N286" s="3">
        <v>3</v>
      </c>
      <c r="O286" s="3">
        <v>1</v>
      </c>
      <c r="P286" s="3">
        <v>0</v>
      </c>
      <c r="Q286" s="3">
        <v>1</v>
      </c>
      <c r="R286" s="3">
        <v>0</v>
      </c>
      <c r="S286" s="3">
        <v>0</v>
      </c>
      <c r="T286" s="3">
        <v>0</v>
      </c>
      <c r="U286" s="3">
        <v>0</v>
      </c>
      <c r="V286" s="3">
        <v>1</v>
      </c>
      <c r="W286" s="3">
        <v>1</v>
      </c>
      <c r="X286" s="3">
        <v>0</v>
      </c>
      <c r="Y286" s="3">
        <v>251</v>
      </c>
      <c r="Z286" s="3">
        <v>1</v>
      </c>
      <c r="AA286" s="3">
        <v>0</v>
      </c>
      <c r="AB286" s="3">
        <v>2</v>
      </c>
      <c r="AC286" s="3">
        <f t="shared" si="19"/>
        <v>410</v>
      </c>
      <c r="AD286" s="3">
        <v>6</v>
      </c>
      <c r="AE286" s="16">
        <f t="shared" si="20"/>
        <v>1.4423076923076924E-2</v>
      </c>
    </row>
    <row r="287" spans="1:31" x14ac:dyDescent="0.5">
      <c r="A287" s="3">
        <v>67</v>
      </c>
      <c r="B287" s="3">
        <v>79</v>
      </c>
      <c r="C287" s="3">
        <v>907</v>
      </c>
      <c r="D287" s="3">
        <v>3</v>
      </c>
      <c r="E287" s="3">
        <v>246</v>
      </c>
      <c r="F287" s="3">
        <v>462</v>
      </c>
      <c r="G287" s="3">
        <v>558</v>
      </c>
      <c r="H287" s="16">
        <f t="shared" si="18"/>
        <v>0.61521499448732087</v>
      </c>
      <c r="I287" s="3">
        <v>850</v>
      </c>
      <c r="J287" s="3">
        <v>0</v>
      </c>
      <c r="K287" s="3">
        <v>0</v>
      </c>
      <c r="L287" s="3">
        <v>2</v>
      </c>
      <c r="M287" s="3">
        <v>251</v>
      </c>
      <c r="N287" s="3">
        <v>4</v>
      </c>
      <c r="O287" s="3">
        <v>5</v>
      </c>
      <c r="P287" s="3">
        <v>0</v>
      </c>
      <c r="Q287" s="3">
        <v>2</v>
      </c>
      <c r="R287" s="3">
        <v>2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1</v>
      </c>
      <c r="Y287" s="3">
        <v>277</v>
      </c>
      <c r="Z287" s="3">
        <v>3</v>
      </c>
      <c r="AA287" s="3">
        <v>2</v>
      </c>
      <c r="AB287" s="3">
        <v>2</v>
      </c>
      <c r="AC287" s="3">
        <f t="shared" si="19"/>
        <v>552</v>
      </c>
      <c r="AD287" s="3">
        <v>6</v>
      </c>
      <c r="AE287" s="16">
        <f t="shared" si="20"/>
        <v>1.0752688172043012E-2</v>
      </c>
    </row>
    <row r="288" spans="1:31" x14ac:dyDescent="0.5">
      <c r="A288" s="3">
        <v>67</v>
      </c>
      <c r="B288" s="3">
        <v>80</v>
      </c>
      <c r="C288" s="3">
        <v>1609</v>
      </c>
      <c r="D288" s="3">
        <v>11</v>
      </c>
      <c r="E288" s="3">
        <v>265</v>
      </c>
      <c r="F288" s="3">
        <v>604</v>
      </c>
      <c r="G288" s="3">
        <v>735</v>
      </c>
      <c r="H288" s="16">
        <f t="shared" si="18"/>
        <v>0.45680546923555004</v>
      </c>
      <c r="I288" s="3">
        <v>1500</v>
      </c>
      <c r="J288" s="3">
        <v>2</v>
      </c>
      <c r="K288" s="3">
        <v>0</v>
      </c>
      <c r="L288" s="3">
        <v>1</v>
      </c>
      <c r="M288" s="3">
        <v>296</v>
      </c>
      <c r="N288" s="3">
        <v>2</v>
      </c>
      <c r="O288" s="3">
        <v>3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1</v>
      </c>
      <c r="V288" s="3">
        <v>0</v>
      </c>
      <c r="W288" s="3">
        <v>0</v>
      </c>
      <c r="X288" s="3">
        <v>0</v>
      </c>
      <c r="Y288" s="3">
        <v>410</v>
      </c>
      <c r="Z288" s="3">
        <v>3</v>
      </c>
      <c r="AA288" s="3">
        <v>3</v>
      </c>
      <c r="AB288" s="3">
        <v>0</v>
      </c>
      <c r="AC288" s="3">
        <f t="shared" si="19"/>
        <v>721</v>
      </c>
      <c r="AD288" s="3">
        <v>14</v>
      </c>
      <c r="AE288" s="16">
        <f t="shared" si="20"/>
        <v>1.9047619047619049E-2</v>
      </c>
    </row>
    <row r="289" spans="1:31" x14ac:dyDescent="0.5">
      <c r="A289" s="3">
        <v>67</v>
      </c>
      <c r="B289" s="3">
        <v>81</v>
      </c>
      <c r="C289" s="3">
        <v>1220</v>
      </c>
      <c r="D289" s="3">
        <v>9</v>
      </c>
      <c r="E289" s="3">
        <v>285</v>
      </c>
      <c r="F289" s="3">
        <v>495</v>
      </c>
      <c r="G289" s="3">
        <v>625</v>
      </c>
      <c r="H289" s="16">
        <f t="shared" si="18"/>
        <v>0.51229508196721307</v>
      </c>
      <c r="I289" s="3">
        <v>1100</v>
      </c>
      <c r="J289" s="3">
        <v>1</v>
      </c>
      <c r="K289" s="3">
        <v>0</v>
      </c>
      <c r="L289" s="3">
        <v>0</v>
      </c>
      <c r="M289" s="3">
        <v>227</v>
      </c>
      <c r="N289" s="3">
        <v>3</v>
      </c>
      <c r="O289" s="3">
        <v>1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1</v>
      </c>
      <c r="W289" s="3">
        <v>0</v>
      </c>
      <c r="X289" s="3">
        <v>0</v>
      </c>
      <c r="Y289" s="3">
        <v>370</v>
      </c>
      <c r="Z289" s="3">
        <v>10</v>
      </c>
      <c r="AA289" s="3">
        <v>2</v>
      </c>
      <c r="AB289" s="3">
        <v>0</v>
      </c>
      <c r="AC289" s="3">
        <f t="shared" si="19"/>
        <v>615</v>
      </c>
      <c r="AD289" s="3">
        <v>10</v>
      </c>
      <c r="AE289" s="16">
        <f t="shared" si="20"/>
        <v>1.6E-2</v>
      </c>
    </row>
    <row r="290" spans="1:31" x14ac:dyDescent="0.5">
      <c r="A290" s="3">
        <v>67</v>
      </c>
      <c r="B290" s="3">
        <v>82</v>
      </c>
      <c r="C290" s="3">
        <v>1209</v>
      </c>
      <c r="D290" s="3">
        <v>6</v>
      </c>
      <c r="E290" s="3">
        <v>218</v>
      </c>
      <c r="F290" s="3">
        <v>433</v>
      </c>
      <c r="G290" s="3">
        <v>541</v>
      </c>
      <c r="H290" s="16">
        <f t="shared" si="18"/>
        <v>0.44747725392886684</v>
      </c>
      <c r="I290" s="3">
        <v>1100</v>
      </c>
      <c r="J290" s="3">
        <v>0</v>
      </c>
      <c r="K290" s="3">
        <v>0</v>
      </c>
      <c r="L290" s="3">
        <v>0</v>
      </c>
      <c r="M290" s="3">
        <v>196</v>
      </c>
      <c r="N290" s="3">
        <v>0</v>
      </c>
      <c r="O290" s="3">
        <v>2</v>
      </c>
      <c r="P290" s="3">
        <v>0</v>
      </c>
      <c r="Q290" s="3">
        <v>1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1</v>
      </c>
      <c r="Y290" s="3">
        <v>302</v>
      </c>
      <c r="Z290" s="3">
        <v>6</v>
      </c>
      <c r="AA290" s="3">
        <v>0</v>
      </c>
      <c r="AB290" s="3">
        <v>1</v>
      </c>
      <c r="AC290" s="3">
        <f t="shared" si="19"/>
        <v>509</v>
      </c>
      <c r="AD290" s="15">
        <v>32</v>
      </c>
      <c r="AE290" s="16">
        <f t="shared" si="20"/>
        <v>5.9149722735674676E-2</v>
      </c>
    </row>
    <row r="291" spans="1:31" x14ac:dyDescent="0.5">
      <c r="A291" s="3">
        <v>67</v>
      </c>
      <c r="B291" s="3">
        <v>83</v>
      </c>
      <c r="C291" s="3">
        <v>1082</v>
      </c>
      <c r="D291" s="3">
        <v>5</v>
      </c>
      <c r="E291" s="3">
        <v>190</v>
      </c>
      <c r="F291" s="3">
        <v>360</v>
      </c>
      <c r="G291" s="3">
        <v>454</v>
      </c>
      <c r="H291" s="16">
        <f t="shared" si="18"/>
        <v>0.41959334565619222</v>
      </c>
      <c r="I291" s="3">
        <v>950</v>
      </c>
      <c r="J291" s="3">
        <v>1</v>
      </c>
      <c r="K291" s="3">
        <v>0</v>
      </c>
      <c r="L291" s="3">
        <v>1</v>
      </c>
      <c r="M291" s="15">
        <v>154</v>
      </c>
      <c r="N291" s="3">
        <v>2</v>
      </c>
      <c r="O291" s="3">
        <v>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15">
        <v>278</v>
      </c>
      <c r="Z291" s="3">
        <v>5</v>
      </c>
      <c r="AA291" s="3">
        <v>4</v>
      </c>
      <c r="AB291" s="3">
        <v>0</v>
      </c>
      <c r="AC291" s="3">
        <f t="shared" si="19"/>
        <v>447</v>
      </c>
      <c r="AD291" s="3">
        <v>6</v>
      </c>
      <c r="AE291" s="16">
        <f t="shared" si="20"/>
        <v>1.3245033112582781E-2</v>
      </c>
    </row>
    <row r="292" spans="1:31" x14ac:dyDescent="0.5">
      <c r="A292" s="3">
        <v>67</v>
      </c>
      <c r="B292" s="3">
        <v>84</v>
      </c>
      <c r="C292" s="3">
        <v>1386</v>
      </c>
      <c r="D292" s="3">
        <v>6</v>
      </c>
      <c r="E292" s="3">
        <v>232</v>
      </c>
      <c r="F292" s="3">
        <v>493</v>
      </c>
      <c r="G292" s="3">
        <v>652</v>
      </c>
      <c r="H292" s="16">
        <f t="shared" si="18"/>
        <v>0.4704184704184704</v>
      </c>
      <c r="I292" s="3">
        <v>1250</v>
      </c>
      <c r="J292" s="3">
        <v>1</v>
      </c>
      <c r="K292" s="3">
        <v>0</v>
      </c>
      <c r="L292" s="3">
        <v>0</v>
      </c>
      <c r="M292" s="3">
        <v>241</v>
      </c>
      <c r="N292" s="3">
        <v>3</v>
      </c>
      <c r="O292" s="3">
        <v>1</v>
      </c>
      <c r="P292" s="3">
        <v>0</v>
      </c>
      <c r="Q292" s="3">
        <v>1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377</v>
      </c>
      <c r="Z292" s="3">
        <v>6</v>
      </c>
      <c r="AA292" s="3">
        <v>5</v>
      </c>
      <c r="AB292" s="3">
        <v>0</v>
      </c>
      <c r="AC292" s="3">
        <f t="shared" si="19"/>
        <v>635</v>
      </c>
      <c r="AD292" s="3">
        <v>11</v>
      </c>
      <c r="AE292" s="16">
        <f t="shared" si="20"/>
        <v>1.7027863777089782E-2</v>
      </c>
    </row>
    <row r="293" spans="1:31" x14ac:dyDescent="0.5">
      <c r="A293" s="3">
        <v>67</v>
      </c>
      <c r="B293" s="3">
        <v>85</v>
      </c>
      <c r="C293" s="3">
        <v>1299</v>
      </c>
      <c r="D293" s="3">
        <v>9</v>
      </c>
      <c r="E293" s="3">
        <v>232</v>
      </c>
      <c r="F293" s="3">
        <v>411</v>
      </c>
      <c r="G293" s="3">
        <v>479</v>
      </c>
      <c r="H293" s="16">
        <f t="shared" si="18"/>
        <v>0.36874518860662048</v>
      </c>
      <c r="I293" s="3">
        <v>1200</v>
      </c>
      <c r="J293" s="3">
        <v>0</v>
      </c>
      <c r="K293" s="3">
        <v>0</v>
      </c>
      <c r="L293" s="3">
        <v>1</v>
      </c>
      <c r="M293" s="3">
        <v>204</v>
      </c>
      <c r="N293" s="3">
        <v>3</v>
      </c>
      <c r="O293" s="3">
        <v>5</v>
      </c>
      <c r="P293" s="3">
        <v>0</v>
      </c>
      <c r="Q293" s="3">
        <v>1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246</v>
      </c>
      <c r="Z293" s="3">
        <v>2</v>
      </c>
      <c r="AA293" s="3">
        <v>8</v>
      </c>
      <c r="AB293" s="3">
        <v>2</v>
      </c>
      <c r="AC293" s="3">
        <f t="shared" si="19"/>
        <v>472</v>
      </c>
      <c r="AD293" s="3">
        <v>7</v>
      </c>
      <c r="AE293" s="16">
        <f t="shared" si="20"/>
        <v>1.4613778705636743E-2</v>
      </c>
    </row>
    <row r="294" spans="1:31" x14ac:dyDescent="0.5">
      <c r="A294" s="3">
        <v>67</v>
      </c>
      <c r="B294" s="3">
        <v>86</v>
      </c>
      <c r="C294" s="3">
        <v>1460</v>
      </c>
      <c r="D294" s="3">
        <v>8</v>
      </c>
      <c r="E294" s="3">
        <v>260</v>
      </c>
      <c r="F294" s="3">
        <v>535</v>
      </c>
      <c r="G294" s="3">
        <v>645</v>
      </c>
      <c r="H294" s="16">
        <f t="shared" si="18"/>
        <v>0.44178082191780821</v>
      </c>
      <c r="I294" s="3">
        <v>1300</v>
      </c>
      <c r="J294" s="3">
        <v>0</v>
      </c>
      <c r="K294" s="3">
        <v>0</v>
      </c>
      <c r="L294" s="3">
        <v>0</v>
      </c>
      <c r="M294" s="3">
        <v>302</v>
      </c>
      <c r="N294" s="3">
        <v>2</v>
      </c>
      <c r="O294" s="3">
        <v>2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322</v>
      </c>
      <c r="Z294" s="3">
        <v>3</v>
      </c>
      <c r="AA294" s="3">
        <v>4</v>
      </c>
      <c r="AB294" s="3">
        <v>1</v>
      </c>
      <c r="AC294" s="3">
        <f t="shared" si="19"/>
        <v>636</v>
      </c>
      <c r="AD294" s="3">
        <v>9</v>
      </c>
      <c r="AE294" s="16">
        <f t="shared" si="20"/>
        <v>1.3953488372093023E-2</v>
      </c>
    </row>
    <row r="295" spans="1:31" x14ac:dyDescent="0.5">
      <c r="A295" s="3">
        <v>67</v>
      </c>
      <c r="B295" s="3">
        <v>87</v>
      </c>
      <c r="C295" s="3">
        <v>819</v>
      </c>
      <c r="D295" s="3">
        <v>6</v>
      </c>
      <c r="E295" s="3">
        <v>151</v>
      </c>
      <c r="F295" s="3">
        <v>258</v>
      </c>
      <c r="G295" s="3">
        <v>337</v>
      </c>
      <c r="H295" s="16">
        <f t="shared" si="18"/>
        <v>0.41147741147741146</v>
      </c>
      <c r="I295" s="3">
        <v>750</v>
      </c>
      <c r="J295" s="3">
        <v>0</v>
      </c>
      <c r="K295" s="3">
        <v>0</v>
      </c>
      <c r="L295" s="3">
        <v>0</v>
      </c>
      <c r="M295" s="3">
        <v>141</v>
      </c>
      <c r="N295" s="3">
        <v>4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186</v>
      </c>
      <c r="Z295" s="3">
        <v>4</v>
      </c>
      <c r="AA295" s="3">
        <v>1</v>
      </c>
      <c r="AB295" s="3">
        <v>0</v>
      </c>
      <c r="AC295" s="3">
        <f t="shared" si="19"/>
        <v>336</v>
      </c>
      <c r="AD295" s="3">
        <v>1</v>
      </c>
      <c r="AE295" s="16">
        <f t="shared" si="20"/>
        <v>2.967359050445104E-3</v>
      </c>
    </row>
    <row r="296" spans="1:31" x14ac:dyDescent="0.5">
      <c r="A296" s="3">
        <v>67</v>
      </c>
      <c r="B296" s="3">
        <v>88</v>
      </c>
      <c r="C296" s="3">
        <v>981</v>
      </c>
      <c r="D296" s="3">
        <v>5</v>
      </c>
      <c r="E296" s="3">
        <v>153</v>
      </c>
      <c r="F296" s="3">
        <v>334</v>
      </c>
      <c r="G296" s="3">
        <v>414</v>
      </c>
      <c r="H296" s="16">
        <f t="shared" si="18"/>
        <v>0.42201834862385323</v>
      </c>
      <c r="I296" s="3">
        <v>850</v>
      </c>
      <c r="J296" s="3">
        <v>0</v>
      </c>
      <c r="K296" s="3">
        <v>0</v>
      </c>
      <c r="L296" s="3">
        <v>0</v>
      </c>
      <c r="M296" s="3">
        <v>178</v>
      </c>
      <c r="N296" s="3">
        <v>1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226</v>
      </c>
      <c r="Z296" s="3">
        <v>6</v>
      </c>
      <c r="AA296" s="3">
        <v>0</v>
      </c>
      <c r="AB296" s="3">
        <v>0</v>
      </c>
      <c r="AC296" s="3">
        <f t="shared" si="19"/>
        <v>411</v>
      </c>
      <c r="AD296" s="3">
        <v>3</v>
      </c>
      <c r="AE296" s="16">
        <f t="shared" si="20"/>
        <v>7.246376811594203E-3</v>
      </c>
    </row>
    <row r="297" spans="1:31" x14ac:dyDescent="0.5">
      <c r="A297" s="3">
        <v>67</v>
      </c>
      <c r="B297" s="3">
        <v>89</v>
      </c>
      <c r="C297" s="3">
        <v>1244</v>
      </c>
      <c r="D297" s="3">
        <v>9</v>
      </c>
      <c r="E297" s="3">
        <v>145</v>
      </c>
      <c r="F297" s="3">
        <v>262</v>
      </c>
      <c r="G297" s="3">
        <v>347</v>
      </c>
      <c r="H297" s="16">
        <f t="shared" si="18"/>
        <v>0.27893890675241156</v>
      </c>
      <c r="I297" s="3">
        <v>1150</v>
      </c>
      <c r="J297" s="3">
        <v>0</v>
      </c>
      <c r="K297" s="3">
        <v>0</v>
      </c>
      <c r="L297" s="3">
        <v>0</v>
      </c>
      <c r="M297" s="3">
        <v>149</v>
      </c>
      <c r="N297" s="3">
        <v>1</v>
      </c>
      <c r="O297" s="3">
        <v>4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180</v>
      </c>
      <c r="Z297" s="3">
        <v>0</v>
      </c>
      <c r="AA297" s="3">
        <v>0</v>
      </c>
      <c r="AB297" s="3">
        <v>0</v>
      </c>
      <c r="AC297" s="3">
        <f t="shared" si="19"/>
        <v>334</v>
      </c>
      <c r="AD297" s="3">
        <v>12</v>
      </c>
      <c r="AE297" s="16">
        <f t="shared" si="20"/>
        <v>3.4682080924855488E-2</v>
      </c>
    </row>
    <row r="298" spans="1:31" x14ac:dyDescent="0.5">
      <c r="A298" s="3">
        <v>67</v>
      </c>
      <c r="B298" s="3">
        <v>90</v>
      </c>
      <c r="C298" s="3">
        <v>849</v>
      </c>
      <c r="D298" s="3">
        <v>8</v>
      </c>
      <c r="E298" s="3">
        <v>256</v>
      </c>
      <c r="F298" s="3">
        <v>401</v>
      </c>
      <c r="G298" s="3">
        <v>458</v>
      </c>
      <c r="H298" s="16">
        <f t="shared" si="18"/>
        <v>0.53945818610129559</v>
      </c>
      <c r="I298" s="3">
        <v>800</v>
      </c>
      <c r="J298" s="3">
        <v>0</v>
      </c>
      <c r="K298" s="3">
        <v>0</v>
      </c>
      <c r="L298" s="3">
        <v>1</v>
      </c>
      <c r="M298" s="3">
        <v>206</v>
      </c>
      <c r="N298" s="3">
        <v>1</v>
      </c>
      <c r="O298" s="3">
        <v>1</v>
      </c>
      <c r="P298" s="3">
        <v>0</v>
      </c>
      <c r="Q298" s="3">
        <v>1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2</v>
      </c>
      <c r="X298" s="3">
        <v>0</v>
      </c>
      <c r="Y298" s="3">
        <v>226</v>
      </c>
      <c r="Z298" s="3">
        <v>1</v>
      </c>
      <c r="AA298" s="3">
        <v>4</v>
      </c>
      <c r="AB298" s="3">
        <v>1</v>
      </c>
      <c r="AC298" s="3">
        <f t="shared" si="19"/>
        <v>444</v>
      </c>
      <c r="AD298" s="3">
        <v>13</v>
      </c>
      <c r="AE298" s="16">
        <f t="shared" si="20"/>
        <v>2.8446389496717725E-2</v>
      </c>
    </row>
    <row r="299" spans="1:31" x14ac:dyDescent="0.5">
      <c r="A299" s="3">
        <v>67</v>
      </c>
      <c r="B299" s="3">
        <v>91</v>
      </c>
      <c r="C299" s="3">
        <v>614</v>
      </c>
      <c r="D299" s="3">
        <v>3</v>
      </c>
      <c r="E299" s="3">
        <v>124</v>
      </c>
      <c r="F299" s="3">
        <v>251</v>
      </c>
      <c r="G299" s="3">
        <v>307</v>
      </c>
      <c r="H299" s="16">
        <f t="shared" si="18"/>
        <v>0.5</v>
      </c>
      <c r="I299" s="3">
        <v>550</v>
      </c>
      <c r="J299" s="3">
        <v>0</v>
      </c>
      <c r="K299" s="3">
        <v>0</v>
      </c>
      <c r="L299" s="3">
        <v>0</v>
      </c>
      <c r="M299" s="3">
        <v>150</v>
      </c>
      <c r="N299" s="3">
        <v>4</v>
      </c>
      <c r="O299" s="3">
        <v>1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1</v>
      </c>
      <c r="X299" s="3">
        <v>0</v>
      </c>
      <c r="Y299" s="3">
        <v>148</v>
      </c>
      <c r="Z299" s="3">
        <v>1</v>
      </c>
      <c r="AA299" s="3">
        <v>1</v>
      </c>
      <c r="AB299" s="3">
        <v>1</v>
      </c>
      <c r="AC299" s="3">
        <f t="shared" si="19"/>
        <v>307</v>
      </c>
      <c r="AD299" s="3">
        <v>0</v>
      </c>
      <c r="AE299" s="16">
        <f t="shared" si="20"/>
        <v>0</v>
      </c>
    </row>
    <row r="300" spans="1:31" x14ac:dyDescent="0.5">
      <c r="A300" s="3">
        <v>67</v>
      </c>
      <c r="B300" s="3">
        <v>92</v>
      </c>
      <c r="C300" s="3">
        <v>1005</v>
      </c>
      <c r="D300" s="3">
        <v>8</v>
      </c>
      <c r="E300" s="3">
        <v>264</v>
      </c>
      <c r="F300" s="3">
        <v>442</v>
      </c>
      <c r="G300" s="3">
        <v>539</v>
      </c>
      <c r="H300" s="16">
        <f t="shared" si="18"/>
        <v>0.53631840796019903</v>
      </c>
      <c r="I300" s="3">
        <v>900</v>
      </c>
      <c r="J300" s="3">
        <v>0</v>
      </c>
      <c r="K300" s="3">
        <v>0</v>
      </c>
      <c r="L300" s="3">
        <v>1</v>
      </c>
      <c r="M300" s="3">
        <v>240</v>
      </c>
      <c r="N300" s="3">
        <v>3</v>
      </c>
      <c r="O300" s="3">
        <v>2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1</v>
      </c>
      <c r="W300" s="3">
        <v>1</v>
      </c>
      <c r="X300" s="3">
        <v>0</v>
      </c>
      <c r="Y300" s="3">
        <v>281</v>
      </c>
      <c r="Z300" s="3">
        <v>2</v>
      </c>
      <c r="AA300" s="3">
        <v>3</v>
      </c>
      <c r="AB300" s="3">
        <v>0</v>
      </c>
      <c r="AC300" s="3">
        <f t="shared" si="19"/>
        <v>534</v>
      </c>
      <c r="AD300" s="3">
        <v>5</v>
      </c>
      <c r="AE300" s="16">
        <f t="shared" si="20"/>
        <v>9.2764378478664197E-3</v>
      </c>
    </row>
    <row r="301" spans="1:31" x14ac:dyDescent="0.5">
      <c r="A301" s="3">
        <v>67</v>
      </c>
      <c r="B301" s="3">
        <v>93</v>
      </c>
      <c r="C301" s="3">
        <v>1116</v>
      </c>
      <c r="D301" s="3">
        <v>7</v>
      </c>
      <c r="E301" s="3">
        <v>217</v>
      </c>
      <c r="F301" s="3">
        <v>409</v>
      </c>
      <c r="G301" s="3">
        <v>527</v>
      </c>
      <c r="H301" s="16">
        <f t="shared" si="18"/>
        <v>0.47222222222222221</v>
      </c>
      <c r="I301" s="3">
        <v>1000</v>
      </c>
      <c r="J301" s="3">
        <v>0</v>
      </c>
      <c r="K301" s="3">
        <v>0</v>
      </c>
      <c r="L301" s="3">
        <v>0</v>
      </c>
      <c r="M301" s="3">
        <v>201</v>
      </c>
      <c r="N301" s="3">
        <v>2</v>
      </c>
      <c r="O301" s="3">
        <v>2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1</v>
      </c>
      <c r="W301" s="3">
        <v>0</v>
      </c>
      <c r="X301" s="3">
        <v>0</v>
      </c>
      <c r="Y301" s="3">
        <v>304</v>
      </c>
      <c r="Z301" s="3">
        <v>3</v>
      </c>
      <c r="AA301" s="3">
        <v>3</v>
      </c>
      <c r="AB301" s="3">
        <v>4</v>
      </c>
      <c r="AC301" s="3">
        <f t="shared" si="19"/>
        <v>520</v>
      </c>
      <c r="AD301" s="3">
        <v>7</v>
      </c>
      <c r="AE301" s="16">
        <f t="shared" si="20"/>
        <v>1.3282732447817837E-2</v>
      </c>
    </row>
    <row r="302" spans="1:31" x14ac:dyDescent="0.5">
      <c r="A302" s="3">
        <v>67</v>
      </c>
      <c r="B302" s="3">
        <v>94</v>
      </c>
      <c r="C302" s="3">
        <v>1434</v>
      </c>
      <c r="D302" s="3">
        <v>8</v>
      </c>
      <c r="E302" s="3">
        <v>339</v>
      </c>
      <c r="F302" s="3">
        <v>592</v>
      </c>
      <c r="G302" s="3">
        <v>717</v>
      </c>
      <c r="H302" s="16">
        <f t="shared" si="18"/>
        <v>0.5</v>
      </c>
      <c r="I302" s="3">
        <v>1300</v>
      </c>
      <c r="J302" s="3">
        <v>0</v>
      </c>
      <c r="K302" s="3">
        <v>0</v>
      </c>
      <c r="L302" s="3">
        <v>0</v>
      </c>
      <c r="M302" s="3">
        <v>303</v>
      </c>
      <c r="N302" s="3">
        <v>2</v>
      </c>
      <c r="O302" s="3">
        <v>4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383</v>
      </c>
      <c r="Z302" s="3">
        <v>4</v>
      </c>
      <c r="AA302" s="3">
        <v>6</v>
      </c>
      <c r="AB302" s="3">
        <v>0</v>
      </c>
      <c r="AC302" s="3">
        <f t="shared" si="19"/>
        <v>703</v>
      </c>
      <c r="AD302" s="3">
        <v>14</v>
      </c>
      <c r="AE302" s="16">
        <f t="shared" si="20"/>
        <v>1.9525801952580194E-2</v>
      </c>
    </row>
    <row r="303" spans="1:31" x14ac:dyDescent="0.5">
      <c r="A303" s="3">
        <v>67</v>
      </c>
      <c r="B303" s="3">
        <v>95</v>
      </c>
      <c r="C303" s="3">
        <v>1210</v>
      </c>
      <c r="D303" s="3">
        <v>11</v>
      </c>
      <c r="E303" s="3">
        <v>240</v>
      </c>
      <c r="F303" s="3">
        <v>480</v>
      </c>
      <c r="G303" s="3">
        <v>563</v>
      </c>
      <c r="H303" s="16">
        <f t="shared" si="18"/>
        <v>0.4652892561983471</v>
      </c>
      <c r="I303" s="3">
        <v>1100</v>
      </c>
      <c r="J303" s="3">
        <v>0</v>
      </c>
      <c r="K303" s="3">
        <v>0</v>
      </c>
      <c r="L303" s="3">
        <v>0</v>
      </c>
      <c r="M303" s="3">
        <v>282</v>
      </c>
      <c r="N303" s="3">
        <v>0</v>
      </c>
      <c r="O303" s="3">
        <v>7</v>
      </c>
      <c r="P303" s="3">
        <v>0</v>
      </c>
      <c r="Q303" s="3">
        <v>1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256</v>
      </c>
      <c r="Z303" s="3">
        <v>6</v>
      </c>
      <c r="AA303" s="3">
        <v>1</v>
      </c>
      <c r="AB303" s="3">
        <v>0</v>
      </c>
      <c r="AC303" s="3">
        <f t="shared" si="19"/>
        <v>553</v>
      </c>
      <c r="AD303" s="3">
        <v>10</v>
      </c>
      <c r="AE303" s="16">
        <f t="shared" si="20"/>
        <v>1.7761989342806393E-2</v>
      </c>
    </row>
    <row r="304" spans="1:31" x14ac:dyDescent="0.5">
      <c r="A304" s="3">
        <v>67</v>
      </c>
      <c r="B304" s="3">
        <v>96</v>
      </c>
      <c r="C304" s="3">
        <v>491</v>
      </c>
      <c r="D304" s="3">
        <v>10</v>
      </c>
      <c r="E304" s="3">
        <v>144</v>
      </c>
      <c r="F304" s="3">
        <v>258</v>
      </c>
      <c r="G304" s="3">
        <v>280</v>
      </c>
      <c r="H304" s="16">
        <f t="shared" si="18"/>
        <v>0.570264765784114</v>
      </c>
      <c r="I304" s="3">
        <v>500</v>
      </c>
      <c r="J304" s="3">
        <v>0</v>
      </c>
      <c r="K304" s="3">
        <v>0</v>
      </c>
      <c r="L304" s="3">
        <v>0</v>
      </c>
      <c r="M304" s="3">
        <v>109</v>
      </c>
      <c r="N304" s="3">
        <v>4</v>
      </c>
      <c r="O304" s="3">
        <v>1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151</v>
      </c>
      <c r="Z304" s="3">
        <v>1</v>
      </c>
      <c r="AA304" s="3">
        <v>5</v>
      </c>
      <c r="AB304" s="3">
        <v>1</v>
      </c>
      <c r="AC304" s="3">
        <f t="shared" si="19"/>
        <v>272</v>
      </c>
      <c r="AD304" s="3">
        <v>8</v>
      </c>
      <c r="AE304" s="16">
        <f t="shared" si="20"/>
        <v>2.8571428571428571E-2</v>
      </c>
    </row>
    <row r="305" spans="1:31" x14ac:dyDescent="0.5">
      <c r="A305" s="3">
        <v>67</v>
      </c>
      <c r="B305" s="3">
        <v>97</v>
      </c>
      <c r="C305" s="3">
        <v>637</v>
      </c>
      <c r="D305" s="3">
        <v>6</v>
      </c>
      <c r="E305" s="3">
        <v>143</v>
      </c>
      <c r="F305" s="3">
        <v>341</v>
      </c>
      <c r="G305" s="3">
        <v>415</v>
      </c>
      <c r="H305" s="16">
        <f t="shared" si="18"/>
        <v>0.65149136577708011</v>
      </c>
      <c r="I305" s="3">
        <v>550</v>
      </c>
      <c r="J305" s="3">
        <v>0</v>
      </c>
      <c r="K305" s="3">
        <v>0</v>
      </c>
      <c r="L305" s="3">
        <v>0</v>
      </c>
      <c r="M305" s="3">
        <v>172</v>
      </c>
      <c r="N305" s="3">
        <v>6</v>
      </c>
      <c r="O305" s="3">
        <v>1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225</v>
      </c>
      <c r="Z305" s="3">
        <v>1</v>
      </c>
      <c r="AA305" s="3">
        <v>2</v>
      </c>
      <c r="AB305" s="3">
        <v>0</v>
      </c>
      <c r="AC305" s="3">
        <f t="shared" si="19"/>
        <v>408</v>
      </c>
      <c r="AD305" s="3">
        <v>7</v>
      </c>
      <c r="AE305" s="16">
        <f t="shared" si="20"/>
        <v>1.6867469879518072E-2</v>
      </c>
    </row>
    <row r="306" spans="1:31" x14ac:dyDescent="0.5">
      <c r="A306" s="3">
        <v>67</v>
      </c>
      <c r="B306" s="3">
        <v>98</v>
      </c>
      <c r="C306" s="3">
        <v>576</v>
      </c>
      <c r="D306" s="3">
        <v>3</v>
      </c>
      <c r="E306" s="3">
        <v>163</v>
      </c>
      <c r="F306" s="3">
        <v>318</v>
      </c>
      <c r="G306" s="3">
        <v>381</v>
      </c>
      <c r="H306" s="16">
        <f t="shared" si="18"/>
        <v>0.66145833333333337</v>
      </c>
      <c r="I306" s="3">
        <v>500</v>
      </c>
      <c r="J306" s="3">
        <v>0</v>
      </c>
      <c r="K306" s="3">
        <v>0</v>
      </c>
      <c r="L306" s="3">
        <v>0</v>
      </c>
      <c r="M306" s="3">
        <v>209</v>
      </c>
      <c r="N306" s="3">
        <v>2</v>
      </c>
      <c r="O306" s="3">
        <v>3</v>
      </c>
      <c r="P306" s="3">
        <v>0</v>
      </c>
      <c r="Q306" s="3">
        <v>0</v>
      </c>
      <c r="R306" s="3">
        <v>0</v>
      </c>
      <c r="S306" s="3">
        <v>0</v>
      </c>
      <c r="T306" s="3">
        <v>1</v>
      </c>
      <c r="U306" s="3">
        <v>0</v>
      </c>
      <c r="V306" s="3">
        <v>0</v>
      </c>
      <c r="W306" s="3">
        <v>0</v>
      </c>
      <c r="X306" s="3">
        <v>0</v>
      </c>
      <c r="Y306" s="3">
        <v>159</v>
      </c>
      <c r="Z306" s="3">
        <v>1</v>
      </c>
      <c r="AA306" s="3">
        <v>1</v>
      </c>
      <c r="AB306" s="3">
        <v>0</v>
      </c>
      <c r="AC306" s="3">
        <f t="shared" si="19"/>
        <v>376</v>
      </c>
      <c r="AD306" s="3">
        <v>5</v>
      </c>
      <c r="AE306" s="16">
        <f t="shared" si="20"/>
        <v>1.3123359580052493E-2</v>
      </c>
    </row>
    <row r="307" spans="1:31" x14ac:dyDescent="0.5">
      <c r="A307" s="3">
        <v>67</v>
      </c>
      <c r="B307" s="3">
        <v>99</v>
      </c>
      <c r="C307" s="3">
        <v>1085</v>
      </c>
      <c r="D307" s="3">
        <v>3</v>
      </c>
      <c r="E307" s="3">
        <v>282</v>
      </c>
      <c r="F307" s="3">
        <v>478</v>
      </c>
      <c r="G307" s="3">
        <v>607</v>
      </c>
      <c r="H307" s="16">
        <f t="shared" si="18"/>
        <v>0.55944700460829488</v>
      </c>
      <c r="I307" s="3">
        <v>1000</v>
      </c>
      <c r="J307" s="3">
        <v>1</v>
      </c>
      <c r="K307" s="3">
        <v>0</v>
      </c>
      <c r="L307" s="3">
        <v>0</v>
      </c>
      <c r="M307" s="3">
        <v>267</v>
      </c>
      <c r="N307" s="3">
        <v>0</v>
      </c>
      <c r="O307" s="3">
        <v>4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320</v>
      </c>
      <c r="Z307" s="3">
        <v>3</v>
      </c>
      <c r="AA307" s="3">
        <v>0</v>
      </c>
      <c r="AB307" s="3">
        <v>3</v>
      </c>
      <c r="AC307" s="3">
        <f t="shared" si="19"/>
        <v>598</v>
      </c>
      <c r="AD307" s="3">
        <v>8</v>
      </c>
      <c r="AE307" s="16">
        <f t="shared" si="20"/>
        <v>1.3201320132013201E-2</v>
      </c>
    </row>
    <row r="308" spans="1:31" x14ac:dyDescent="0.5">
      <c r="A308" s="3">
        <v>67</v>
      </c>
      <c r="B308" s="3">
        <v>100</v>
      </c>
      <c r="C308" s="3">
        <v>1258</v>
      </c>
      <c r="D308" s="3">
        <v>8</v>
      </c>
      <c r="E308" s="3">
        <v>218</v>
      </c>
      <c r="F308" s="3">
        <v>375</v>
      </c>
      <c r="G308" s="3">
        <v>469</v>
      </c>
      <c r="H308" s="16">
        <f t="shared" si="18"/>
        <v>0.37281399046104929</v>
      </c>
      <c r="I308" s="3">
        <v>1150</v>
      </c>
      <c r="J308" s="3">
        <v>1</v>
      </c>
      <c r="K308" s="3">
        <v>0</v>
      </c>
      <c r="L308" s="3">
        <v>0</v>
      </c>
      <c r="M308" s="3">
        <v>238</v>
      </c>
      <c r="N308" s="3">
        <v>5</v>
      </c>
      <c r="O308" s="3">
        <v>5</v>
      </c>
      <c r="P308" s="3">
        <v>0</v>
      </c>
      <c r="Q308" s="3">
        <v>1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197</v>
      </c>
      <c r="Z308" s="3">
        <v>5</v>
      </c>
      <c r="AA308" s="3">
        <v>5</v>
      </c>
      <c r="AB308" s="3">
        <v>2</v>
      </c>
      <c r="AC308" s="3">
        <f t="shared" si="19"/>
        <v>459</v>
      </c>
      <c r="AD308" s="3">
        <v>10</v>
      </c>
      <c r="AE308" s="16">
        <f t="shared" si="20"/>
        <v>2.1321961620469083E-2</v>
      </c>
    </row>
    <row r="309" spans="1:31" x14ac:dyDescent="0.5">
      <c r="A309" s="3">
        <v>67</v>
      </c>
      <c r="B309" s="3">
        <v>101</v>
      </c>
      <c r="C309" s="3">
        <v>750</v>
      </c>
      <c r="D309" s="3">
        <v>7</v>
      </c>
      <c r="E309" s="3">
        <v>160</v>
      </c>
      <c r="F309" s="3">
        <v>299</v>
      </c>
      <c r="G309" s="3">
        <v>352</v>
      </c>
      <c r="H309" s="16">
        <f t="shared" si="18"/>
        <v>0.46933333333333332</v>
      </c>
      <c r="I309" s="3">
        <v>650</v>
      </c>
      <c r="J309" s="3">
        <v>0</v>
      </c>
      <c r="K309" s="3">
        <v>0</v>
      </c>
      <c r="L309" s="3">
        <v>0</v>
      </c>
      <c r="M309" s="3">
        <v>131</v>
      </c>
      <c r="N309" s="3">
        <v>4</v>
      </c>
      <c r="O309" s="3">
        <v>1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208</v>
      </c>
      <c r="Z309" s="3">
        <v>1</v>
      </c>
      <c r="AA309" s="3">
        <v>4</v>
      </c>
      <c r="AB309" s="3">
        <v>1</v>
      </c>
      <c r="AC309" s="3">
        <f t="shared" si="19"/>
        <v>350</v>
      </c>
      <c r="AD309" s="3">
        <v>2</v>
      </c>
      <c r="AE309" s="16">
        <f t="shared" si="20"/>
        <v>5.681818181818182E-3</v>
      </c>
    </row>
    <row r="310" spans="1:31" x14ac:dyDescent="0.5">
      <c r="A310" s="3">
        <v>67</v>
      </c>
      <c r="B310" s="3">
        <v>102</v>
      </c>
      <c r="C310" s="3">
        <v>862</v>
      </c>
      <c r="D310" s="3">
        <v>9</v>
      </c>
      <c r="E310" s="3">
        <v>188</v>
      </c>
      <c r="F310" s="3">
        <v>373</v>
      </c>
      <c r="G310" s="3">
        <v>440</v>
      </c>
      <c r="H310" s="16">
        <f t="shared" si="18"/>
        <v>0.51044083526682138</v>
      </c>
      <c r="I310" s="3">
        <v>800</v>
      </c>
      <c r="J310" s="3">
        <v>0</v>
      </c>
      <c r="K310" s="3">
        <v>0</v>
      </c>
      <c r="L310" s="3">
        <v>1</v>
      </c>
      <c r="M310" s="3">
        <v>221</v>
      </c>
      <c r="N310" s="3">
        <v>2</v>
      </c>
      <c r="O310" s="3">
        <v>1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209</v>
      </c>
      <c r="Z310" s="3">
        <v>1</v>
      </c>
      <c r="AA310" s="3">
        <v>0</v>
      </c>
      <c r="AB310" s="3">
        <v>0</v>
      </c>
      <c r="AC310" s="3">
        <f t="shared" si="19"/>
        <v>435</v>
      </c>
      <c r="AD310" s="3">
        <v>2</v>
      </c>
      <c r="AE310" s="16">
        <f t="shared" si="20"/>
        <v>4.5766590389016018E-3</v>
      </c>
    </row>
    <row r="311" spans="1:31" x14ac:dyDescent="0.5">
      <c r="A311" s="3">
        <v>67</v>
      </c>
      <c r="B311" s="3">
        <v>103</v>
      </c>
      <c r="C311" s="3">
        <v>1015</v>
      </c>
      <c r="D311" s="3">
        <v>5</v>
      </c>
      <c r="E311" s="3">
        <v>211</v>
      </c>
      <c r="F311" s="3">
        <v>418</v>
      </c>
      <c r="G311" s="3">
        <v>520</v>
      </c>
      <c r="H311" s="16">
        <f t="shared" si="18"/>
        <v>0.51231527093596063</v>
      </c>
      <c r="I311" s="3">
        <v>950</v>
      </c>
      <c r="J311" s="3">
        <v>1</v>
      </c>
      <c r="K311" s="3">
        <v>0</v>
      </c>
      <c r="L311" s="3">
        <v>0</v>
      </c>
      <c r="M311" s="3">
        <v>213</v>
      </c>
      <c r="N311" s="3">
        <v>3</v>
      </c>
      <c r="O311" s="3">
        <v>0</v>
      </c>
      <c r="P311" s="3">
        <v>0</v>
      </c>
      <c r="Q311" s="3">
        <v>1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1</v>
      </c>
      <c r="Y311" s="3">
        <v>288</v>
      </c>
      <c r="Z311" s="3">
        <v>3</v>
      </c>
      <c r="AA311" s="3">
        <v>2</v>
      </c>
      <c r="AB311" s="3">
        <v>1</v>
      </c>
      <c r="AC311" s="3">
        <f t="shared" si="19"/>
        <v>513</v>
      </c>
      <c r="AD311" s="3">
        <v>7</v>
      </c>
      <c r="AE311" s="16">
        <f t="shared" si="20"/>
        <v>1.3461538461538462E-2</v>
      </c>
    </row>
    <row r="312" spans="1:31" x14ac:dyDescent="0.5">
      <c r="A312" s="3">
        <v>67</v>
      </c>
      <c r="B312" s="3">
        <v>104</v>
      </c>
      <c r="C312" s="3">
        <v>562</v>
      </c>
      <c r="D312" s="3">
        <v>9</v>
      </c>
      <c r="E312" s="3">
        <v>144</v>
      </c>
      <c r="F312" s="3">
        <v>275</v>
      </c>
      <c r="G312" s="3">
        <v>332</v>
      </c>
      <c r="H312" s="16">
        <f t="shared" si="18"/>
        <v>0.59074733096085408</v>
      </c>
      <c r="I312" s="3">
        <v>500</v>
      </c>
      <c r="J312" s="3">
        <v>0</v>
      </c>
      <c r="K312" s="3">
        <v>0</v>
      </c>
      <c r="L312" s="3">
        <v>1</v>
      </c>
      <c r="M312" s="3">
        <v>99</v>
      </c>
      <c r="N312" s="3">
        <v>3</v>
      </c>
      <c r="O312" s="3">
        <v>3</v>
      </c>
      <c r="P312" s="3">
        <v>0</v>
      </c>
      <c r="Q312" s="3">
        <v>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214</v>
      </c>
      <c r="Z312" s="3">
        <v>2</v>
      </c>
      <c r="AA312" s="3">
        <v>1</v>
      </c>
      <c r="AB312" s="3">
        <v>2</v>
      </c>
      <c r="AC312" s="3">
        <f t="shared" si="19"/>
        <v>327</v>
      </c>
      <c r="AD312" s="3">
        <v>5</v>
      </c>
      <c r="AE312" s="16">
        <f t="shared" si="20"/>
        <v>1.5060240963855422E-2</v>
      </c>
    </row>
    <row r="313" spans="1:31" x14ac:dyDescent="0.5">
      <c r="A313" s="3">
        <v>67</v>
      </c>
      <c r="B313" s="3">
        <v>105</v>
      </c>
      <c r="C313" s="3">
        <v>604</v>
      </c>
      <c r="D313" s="3">
        <v>8</v>
      </c>
      <c r="E313" s="3">
        <v>117</v>
      </c>
      <c r="F313" s="3">
        <v>224</v>
      </c>
      <c r="G313" s="3">
        <v>280</v>
      </c>
      <c r="H313" s="16">
        <f t="shared" si="18"/>
        <v>0.46357615894039733</v>
      </c>
      <c r="I313" s="3">
        <v>550</v>
      </c>
      <c r="J313" s="3">
        <v>0</v>
      </c>
      <c r="K313" s="3">
        <v>0</v>
      </c>
      <c r="L313" s="3">
        <v>0</v>
      </c>
      <c r="M313" s="3">
        <v>86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1</v>
      </c>
      <c r="W313" s="3">
        <v>0</v>
      </c>
      <c r="X313" s="3">
        <v>0</v>
      </c>
      <c r="Y313" s="3">
        <v>159</v>
      </c>
      <c r="Z313" s="3">
        <v>6</v>
      </c>
      <c r="AA313" s="3">
        <v>3</v>
      </c>
      <c r="AB313" s="3">
        <v>1</v>
      </c>
      <c r="AC313" s="3">
        <f t="shared" si="19"/>
        <v>256</v>
      </c>
      <c r="AD313" s="3">
        <v>23</v>
      </c>
      <c r="AE313" s="16">
        <f t="shared" si="20"/>
        <v>8.2437275985663083E-2</v>
      </c>
    </row>
    <row r="314" spans="1:31" x14ac:dyDescent="0.5">
      <c r="A314" s="3">
        <v>67</v>
      </c>
      <c r="B314" s="3">
        <v>106</v>
      </c>
      <c r="C314" s="3">
        <v>634</v>
      </c>
      <c r="D314" s="3">
        <v>8</v>
      </c>
      <c r="E314" s="3">
        <v>129</v>
      </c>
      <c r="F314" s="3">
        <v>229</v>
      </c>
      <c r="G314" s="3">
        <v>287</v>
      </c>
      <c r="H314" s="16">
        <f t="shared" si="18"/>
        <v>0.45268138801261831</v>
      </c>
      <c r="I314" s="3">
        <v>550</v>
      </c>
      <c r="J314" s="3">
        <v>0</v>
      </c>
      <c r="K314" s="3">
        <v>0</v>
      </c>
      <c r="L314" s="3">
        <v>1</v>
      </c>
      <c r="M314" s="3">
        <v>119</v>
      </c>
      <c r="N314" s="3">
        <v>4</v>
      </c>
      <c r="O314" s="3">
        <v>1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1</v>
      </c>
      <c r="Y314" s="3">
        <v>156</v>
      </c>
      <c r="Z314" s="3">
        <v>1</v>
      </c>
      <c r="AA314" s="3">
        <v>1</v>
      </c>
      <c r="AB314" s="3">
        <v>1</v>
      </c>
      <c r="AC314" s="3">
        <f t="shared" si="19"/>
        <v>285</v>
      </c>
      <c r="AD314" s="3">
        <v>2</v>
      </c>
      <c r="AE314" s="16">
        <f t="shared" si="20"/>
        <v>6.9686411149825784E-3</v>
      </c>
    </row>
    <row r="315" spans="1:31" x14ac:dyDescent="0.5">
      <c r="A315" s="3">
        <v>67</v>
      </c>
      <c r="B315" s="3">
        <v>108</v>
      </c>
      <c r="C315" s="3">
        <v>781</v>
      </c>
      <c r="D315" s="3">
        <v>4</v>
      </c>
      <c r="E315" s="3">
        <v>227</v>
      </c>
      <c r="F315" s="3">
        <v>348</v>
      </c>
      <c r="G315" s="3">
        <v>446</v>
      </c>
      <c r="H315" s="16">
        <f t="shared" si="18"/>
        <v>0.57106274007682456</v>
      </c>
      <c r="I315" s="3">
        <v>700</v>
      </c>
      <c r="J315" s="3">
        <v>0</v>
      </c>
      <c r="K315" s="3">
        <v>0</v>
      </c>
      <c r="L315" s="3">
        <v>0</v>
      </c>
      <c r="M315" s="3">
        <v>137</v>
      </c>
      <c r="N315" s="3">
        <v>5</v>
      </c>
      <c r="O315" s="3">
        <v>1</v>
      </c>
      <c r="P315" s="3">
        <v>0</v>
      </c>
      <c r="Q315" s="3">
        <v>0</v>
      </c>
      <c r="R315" s="3">
        <v>0</v>
      </c>
      <c r="S315" s="3">
        <v>0</v>
      </c>
      <c r="T315" s="3">
        <v>1</v>
      </c>
      <c r="U315" s="3">
        <v>0</v>
      </c>
      <c r="V315" s="3">
        <v>0</v>
      </c>
      <c r="W315" s="3">
        <v>1</v>
      </c>
      <c r="X315" s="3">
        <v>0</v>
      </c>
      <c r="Y315" s="3">
        <v>273</v>
      </c>
      <c r="Z315" s="3">
        <v>0</v>
      </c>
      <c r="AA315" s="3">
        <v>3</v>
      </c>
      <c r="AB315" s="3">
        <v>1</v>
      </c>
      <c r="AC315" s="3">
        <f t="shared" si="19"/>
        <v>422</v>
      </c>
      <c r="AD315" s="3">
        <v>7</v>
      </c>
      <c r="AE315" s="16">
        <f t="shared" si="20"/>
        <v>1.6317016317016316E-2</v>
      </c>
    </row>
    <row r="316" spans="1:31" s="5" customFormat="1" x14ac:dyDescent="0.5">
      <c r="A316" s="8">
        <v>67</v>
      </c>
      <c r="B316" s="8" t="s">
        <v>0</v>
      </c>
      <c r="C316" s="8">
        <f>SUM(C209:C315)</f>
        <v>120837</v>
      </c>
      <c r="D316" s="8">
        <f>SUM(D209:D315)</f>
        <v>783</v>
      </c>
      <c r="E316" s="8">
        <f t="shared" ref="E316:AD316" si="21">SUM(E209:E315)</f>
        <v>24062</v>
      </c>
      <c r="F316" s="8">
        <f t="shared" si="21"/>
        <v>46400</v>
      </c>
      <c r="G316" s="8">
        <f t="shared" si="21"/>
        <v>57227</v>
      </c>
      <c r="H316" s="20">
        <f t="shared" si="18"/>
        <v>0.47358838766271921</v>
      </c>
      <c r="I316" s="8">
        <f t="shared" si="21"/>
        <v>109750</v>
      </c>
      <c r="J316" s="8">
        <f t="shared" si="21"/>
        <v>31</v>
      </c>
      <c r="K316" s="8">
        <f t="shared" si="21"/>
        <v>0</v>
      </c>
      <c r="L316" s="8">
        <f t="shared" si="21"/>
        <v>64</v>
      </c>
      <c r="M316" s="8">
        <f t="shared" si="21"/>
        <v>24096</v>
      </c>
      <c r="N316" s="8">
        <f t="shared" si="21"/>
        <v>391</v>
      </c>
      <c r="O316" s="8">
        <f t="shared" si="21"/>
        <v>250</v>
      </c>
      <c r="P316" s="8">
        <f t="shared" si="21"/>
        <v>0</v>
      </c>
      <c r="Q316" s="8">
        <f t="shared" si="21"/>
        <v>45</v>
      </c>
      <c r="R316" s="8">
        <f t="shared" si="21"/>
        <v>12</v>
      </c>
      <c r="S316" s="8">
        <f t="shared" si="21"/>
        <v>0</v>
      </c>
      <c r="T316" s="8">
        <f t="shared" si="21"/>
        <v>11</v>
      </c>
      <c r="U316" s="8">
        <f t="shared" si="21"/>
        <v>16</v>
      </c>
      <c r="V316" s="8">
        <f t="shared" si="21"/>
        <v>15</v>
      </c>
      <c r="W316" s="8">
        <f t="shared" si="21"/>
        <v>28</v>
      </c>
      <c r="X316" s="8">
        <f t="shared" si="21"/>
        <v>24</v>
      </c>
      <c r="Y316" s="8">
        <f t="shared" si="21"/>
        <v>30487</v>
      </c>
      <c r="Z316" s="8">
        <f t="shared" si="21"/>
        <v>407</v>
      </c>
      <c r="AA316" s="8">
        <f t="shared" si="21"/>
        <v>249</v>
      </c>
      <c r="AB316" s="8">
        <f t="shared" si="21"/>
        <v>136</v>
      </c>
      <c r="AC316" s="8">
        <f t="shared" si="21"/>
        <v>56262</v>
      </c>
      <c r="AD316" s="8">
        <f t="shared" si="21"/>
        <v>923</v>
      </c>
      <c r="AE316" s="20">
        <f t="shared" si="20"/>
        <v>1.6140596310221213E-2</v>
      </c>
    </row>
    <row r="317" spans="1:31" s="5" customFormat="1" x14ac:dyDescent="0.5">
      <c r="A317" s="8"/>
      <c r="B317" s="8"/>
      <c r="C317" s="8"/>
      <c r="D317" s="8"/>
      <c r="E317" s="8"/>
      <c r="F317" s="8"/>
      <c r="G317" s="8"/>
      <c r="H317" s="20"/>
      <c r="I317" s="8"/>
      <c r="J317" s="20">
        <f>J316/$AC$316</f>
        <v>5.5099356581707012E-4</v>
      </c>
      <c r="K317" s="20">
        <f t="shared" ref="K317:AB317" si="22">K316/$AC$316</f>
        <v>0</v>
      </c>
      <c r="L317" s="20">
        <f t="shared" si="22"/>
        <v>1.1375351036223384E-3</v>
      </c>
      <c r="M317" s="20">
        <f t="shared" si="22"/>
        <v>0.4282819665138104</v>
      </c>
      <c r="N317" s="20">
        <f t="shared" si="22"/>
        <v>6.9496285236927231E-3</v>
      </c>
      <c r="O317" s="20">
        <f t="shared" si="22"/>
        <v>4.4434964985247596E-3</v>
      </c>
      <c r="P317" s="20">
        <f t="shared" si="22"/>
        <v>0</v>
      </c>
      <c r="Q317" s="20">
        <f t="shared" si="22"/>
        <v>7.9982936973445665E-4</v>
      </c>
      <c r="R317" s="20">
        <f t="shared" si="22"/>
        <v>2.1328783192918843E-4</v>
      </c>
      <c r="S317" s="20">
        <f t="shared" si="22"/>
        <v>0</v>
      </c>
      <c r="T317" s="20">
        <f t="shared" si="22"/>
        <v>1.9551384593508942E-4</v>
      </c>
      <c r="U317" s="20">
        <f t="shared" si="22"/>
        <v>2.8438377590558461E-4</v>
      </c>
      <c r="V317" s="20">
        <f t="shared" si="22"/>
        <v>2.6660978991148557E-4</v>
      </c>
      <c r="W317" s="20">
        <f t="shared" si="22"/>
        <v>4.9767160783477306E-4</v>
      </c>
      <c r="X317" s="20">
        <f t="shared" si="22"/>
        <v>4.2657566385837685E-4</v>
      </c>
      <c r="Y317" s="20">
        <f t="shared" si="22"/>
        <v>0.5418755110020973</v>
      </c>
      <c r="Z317" s="20">
        <f t="shared" si="22"/>
        <v>7.2340122995983077E-3</v>
      </c>
      <c r="AA317" s="20">
        <f t="shared" si="22"/>
        <v>4.4257225125306603E-3</v>
      </c>
      <c r="AB317" s="20">
        <f t="shared" si="22"/>
        <v>2.4172620951974691E-3</v>
      </c>
      <c r="AC317" s="20"/>
      <c r="AD317" s="8"/>
      <c r="AE317" s="21"/>
    </row>
    <row r="318" spans="1:31" x14ac:dyDescent="0.5">
      <c r="A318" s="3">
        <v>84</v>
      </c>
      <c r="B318" s="3">
        <v>1</v>
      </c>
      <c r="C318" s="3">
        <v>926</v>
      </c>
      <c r="D318" s="3">
        <v>2</v>
      </c>
      <c r="E318" s="3">
        <v>294</v>
      </c>
      <c r="F318" s="3">
        <v>553</v>
      </c>
      <c r="G318" s="3">
        <v>631</v>
      </c>
      <c r="H318" s="16">
        <f t="shared" si="18"/>
        <v>0.68142548596112307</v>
      </c>
      <c r="I318" s="3">
        <v>900</v>
      </c>
      <c r="J318" s="3">
        <v>23</v>
      </c>
      <c r="K318" s="3">
        <v>0</v>
      </c>
      <c r="L318" s="3">
        <v>1</v>
      </c>
      <c r="M318" s="3">
        <v>213</v>
      </c>
      <c r="N318" s="3">
        <v>0</v>
      </c>
      <c r="O318" s="3">
        <v>0</v>
      </c>
      <c r="P318" s="3">
        <v>1</v>
      </c>
      <c r="Q318" s="3">
        <v>0</v>
      </c>
      <c r="R318" s="3">
        <v>0</v>
      </c>
      <c r="S318" s="3">
        <v>1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382</v>
      </c>
      <c r="Z318" s="3">
        <v>0</v>
      </c>
      <c r="AA318" s="3">
        <v>0</v>
      </c>
      <c r="AB318" s="3">
        <v>0</v>
      </c>
      <c r="AC318" s="3">
        <f t="shared" si="19"/>
        <v>621</v>
      </c>
      <c r="AD318" s="3">
        <v>10</v>
      </c>
      <c r="AE318" s="16">
        <f t="shared" si="20"/>
        <v>1.5847860538827259E-2</v>
      </c>
    </row>
    <row r="319" spans="1:31" x14ac:dyDescent="0.5">
      <c r="A319" s="3">
        <v>84</v>
      </c>
      <c r="B319" s="3">
        <v>2</v>
      </c>
      <c r="C319" s="3">
        <v>497</v>
      </c>
      <c r="D319" s="3">
        <v>0</v>
      </c>
      <c r="E319" s="3">
        <v>80</v>
      </c>
      <c r="F319" s="3">
        <v>260</v>
      </c>
      <c r="G319" s="3">
        <v>330</v>
      </c>
      <c r="H319" s="16">
        <f t="shared" si="18"/>
        <v>0.66398390342052316</v>
      </c>
      <c r="I319" s="3">
        <v>500</v>
      </c>
      <c r="J319" s="3">
        <v>7</v>
      </c>
      <c r="K319" s="3">
        <v>0</v>
      </c>
      <c r="L319" s="3">
        <v>0</v>
      </c>
      <c r="M319" s="3">
        <v>80</v>
      </c>
      <c r="N319" s="3">
        <v>0</v>
      </c>
      <c r="O319" s="3">
        <v>0</v>
      </c>
      <c r="P319" s="3">
        <v>4</v>
      </c>
      <c r="Q319" s="3">
        <v>1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231</v>
      </c>
      <c r="Z319" s="3">
        <v>0</v>
      </c>
      <c r="AA319" s="3">
        <v>0</v>
      </c>
      <c r="AB319" s="3">
        <v>0</v>
      </c>
      <c r="AC319" s="3">
        <f t="shared" si="19"/>
        <v>323</v>
      </c>
      <c r="AD319" s="3">
        <v>7</v>
      </c>
      <c r="AE319" s="16">
        <f t="shared" si="20"/>
        <v>2.1212121212121213E-2</v>
      </c>
    </row>
    <row r="320" spans="1:31" x14ac:dyDescent="0.5">
      <c r="A320" s="3">
        <v>84</v>
      </c>
      <c r="B320" s="3">
        <v>3</v>
      </c>
      <c r="C320" s="3">
        <v>372</v>
      </c>
      <c r="D320" s="3">
        <v>0</v>
      </c>
      <c r="E320" s="3">
        <v>62</v>
      </c>
      <c r="F320" s="3">
        <v>151</v>
      </c>
      <c r="G320" s="3">
        <v>188</v>
      </c>
      <c r="H320" s="16">
        <f t="shared" si="18"/>
        <v>0.5053763440860215</v>
      </c>
      <c r="I320" s="3">
        <v>400</v>
      </c>
      <c r="J320" s="3">
        <v>12</v>
      </c>
      <c r="K320" s="3">
        <v>0</v>
      </c>
      <c r="L320" s="3">
        <v>0</v>
      </c>
      <c r="M320" s="3">
        <v>53</v>
      </c>
      <c r="N320" s="3">
        <v>0</v>
      </c>
      <c r="O320" s="3">
        <v>0</v>
      </c>
      <c r="P320" s="3">
        <v>1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118</v>
      </c>
      <c r="Z320" s="3">
        <v>1</v>
      </c>
      <c r="AA320" s="3">
        <v>0</v>
      </c>
      <c r="AB320" s="3">
        <v>0</v>
      </c>
      <c r="AC320" s="3">
        <f t="shared" si="19"/>
        <v>185</v>
      </c>
      <c r="AD320" s="3">
        <v>2</v>
      </c>
      <c r="AE320" s="16">
        <f t="shared" si="20"/>
        <v>1.06951871657754E-2</v>
      </c>
    </row>
    <row r="321" spans="1:31" x14ac:dyDescent="0.5">
      <c r="A321" s="3">
        <v>84</v>
      </c>
      <c r="B321" s="3">
        <v>4</v>
      </c>
      <c r="C321" s="3">
        <v>898</v>
      </c>
      <c r="D321" s="3">
        <v>1</v>
      </c>
      <c r="E321" s="3">
        <v>175</v>
      </c>
      <c r="F321" s="3">
        <v>402</v>
      </c>
      <c r="G321" s="3">
        <v>485</v>
      </c>
      <c r="H321" s="16">
        <f t="shared" si="18"/>
        <v>0.54008908685968815</v>
      </c>
      <c r="I321" s="3">
        <v>850</v>
      </c>
      <c r="J321" s="3">
        <v>23</v>
      </c>
      <c r="K321" s="3">
        <v>0</v>
      </c>
      <c r="L321" s="3">
        <v>1</v>
      </c>
      <c r="M321" s="3">
        <v>106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341</v>
      </c>
      <c r="Z321" s="3">
        <v>4</v>
      </c>
      <c r="AA321" s="3">
        <v>0</v>
      </c>
      <c r="AB321" s="3">
        <v>0</v>
      </c>
      <c r="AC321" s="3">
        <f t="shared" si="19"/>
        <v>475</v>
      </c>
      <c r="AD321" s="3">
        <v>10</v>
      </c>
      <c r="AE321" s="16">
        <f t="shared" si="20"/>
        <v>2.0618556701030927E-2</v>
      </c>
    </row>
    <row r="322" spans="1:31" x14ac:dyDescent="0.5">
      <c r="A322" s="3">
        <v>84</v>
      </c>
      <c r="B322" s="3">
        <v>5</v>
      </c>
      <c r="C322" s="3">
        <v>548</v>
      </c>
      <c r="D322" s="3">
        <v>2</v>
      </c>
      <c r="E322" s="3">
        <v>93</v>
      </c>
      <c r="F322" s="3">
        <v>271</v>
      </c>
      <c r="G322" s="3">
        <v>311</v>
      </c>
      <c r="H322" s="16">
        <f t="shared" si="18"/>
        <v>0.56751824817518248</v>
      </c>
      <c r="I322" s="3">
        <v>500</v>
      </c>
      <c r="J322" s="3">
        <v>8</v>
      </c>
      <c r="K322" s="3">
        <v>0</v>
      </c>
      <c r="L322" s="3">
        <v>1</v>
      </c>
      <c r="M322" s="3">
        <v>67</v>
      </c>
      <c r="N322" s="3">
        <v>0</v>
      </c>
      <c r="O322" s="3">
        <v>0</v>
      </c>
      <c r="P322" s="3">
        <v>1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232</v>
      </c>
      <c r="Z322" s="3">
        <v>0</v>
      </c>
      <c r="AA322" s="3">
        <v>0</v>
      </c>
      <c r="AB322" s="3">
        <v>0</v>
      </c>
      <c r="AC322" s="3">
        <f t="shared" si="19"/>
        <v>309</v>
      </c>
      <c r="AD322" s="3">
        <v>2</v>
      </c>
      <c r="AE322" s="16">
        <f t="shared" si="20"/>
        <v>6.4308681672025723E-3</v>
      </c>
    </row>
    <row r="323" spans="1:31" x14ac:dyDescent="0.5">
      <c r="A323" s="3">
        <v>84</v>
      </c>
      <c r="B323" s="3">
        <v>6</v>
      </c>
      <c r="C323" s="3">
        <v>386</v>
      </c>
      <c r="D323" s="3">
        <v>1</v>
      </c>
      <c r="E323" s="3">
        <v>82</v>
      </c>
      <c r="F323" s="3">
        <v>166</v>
      </c>
      <c r="G323" s="3">
        <v>205</v>
      </c>
      <c r="H323" s="16">
        <f t="shared" si="18"/>
        <v>0.5310880829015544</v>
      </c>
      <c r="I323" s="3">
        <v>400</v>
      </c>
      <c r="J323" s="3">
        <v>10</v>
      </c>
      <c r="K323" s="3">
        <v>0</v>
      </c>
      <c r="L323" s="3">
        <v>3</v>
      </c>
      <c r="M323" s="3">
        <v>48</v>
      </c>
      <c r="N323" s="3">
        <v>0</v>
      </c>
      <c r="O323" s="3">
        <v>0</v>
      </c>
      <c r="P323" s="3">
        <v>2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137</v>
      </c>
      <c r="Z323" s="3">
        <v>3</v>
      </c>
      <c r="AA323" s="3">
        <v>0</v>
      </c>
      <c r="AB323" s="3">
        <v>0</v>
      </c>
      <c r="AC323" s="3">
        <f t="shared" si="19"/>
        <v>203</v>
      </c>
      <c r="AD323" s="3">
        <v>2</v>
      </c>
      <c r="AE323" s="16">
        <f t="shared" si="20"/>
        <v>9.7560975609756097E-3</v>
      </c>
    </row>
    <row r="324" spans="1:31" x14ac:dyDescent="0.5">
      <c r="A324" s="3">
        <v>84</v>
      </c>
      <c r="B324" s="3">
        <v>7</v>
      </c>
      <c r="C324" s="3">
        <v>614</v>
      </c>
      <c r="D324" s="3">
        <v>2</v>
      </c>
      <c r="E324" s="3">
        <v>90</v>
      </c>
      <c r="F324" s="3">
        <v>279</v>
      </c>
      <c r="G324" s="3">
        <v>321</v>
      </c>
      <c r="H324" s="16">
        <f t="shared" si="18"/>
        <v>0.5228013029315961</v>
      </c>
      <c r="I324" s="3">
        <v>600</v>
      </c>
      <c r="J324" s="3">
        <v>17</v>
      </c>
      <c r="K324" s="3">
        <v>0</v>
      </c>
      <c r="L324" s="3">
        <v>2</v>
      </c>
      <c r="M324" s="3">
        <v>112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187</v>
      </c>
      <c r="Z324" s="3">
        <v>1</v>
      </c>
      <c r="AA324" s="3">
        <v>0</v>
      </c>
      <c r="AB324" s="3">
        <v>0</v>
      </c>
      <c r="AC324" s="3">
        <f t="shared" si="19"/>
        <v>319</v>
      </c>
      <c r="AD324" s="3">
        <v>2</v>
      </c>
      <c r="AE324" s="16">
        <f t="shared" si="20"/>
        <v>6.2305295950155761E-3</v>
      </c>
    </row>
    <row r="325" spans="1:31" x14ac:dyDescent="0.5">
      <c r="A325" s="3">
        <v>84</v>
      </c>
      <c r="B325" s="3">
        <v>8</v>
      </c>
      <c r="C325" s="3">
        <v>472</v>
      </c>
      <c r="D325" s="3">
        <v>1</v>
      </c>
      <c r="E325" s="3">
        <v>65</v>
      </c>
      <c r="F325" s="3">
        <v>276</v>
      </c>
      <c r="G325" s="3">
        <v>303</v>
      </c>
      <c r="H325" s="16">
        <f t="shared" si="18"/>
        <v>0.64194915254237284</v>
      </c>
      <c r="I325" s="3">
        <v>500</v>
      </c>
      <c r="J325" s="3">
        <v>13</v>
      </c>
      <c r="K325" s="3">
        <v>0</v>
      </c>
      <c r="L325" s="3">
        <v>0</v>
      </c>
      <c r="M325" s="3">
        <v>72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1</v>
      </c>
      <c r="W325" s="3">
        <v>0</v>
      </c>
      <c r="X325" s="3">
        <v>0</v>
      </c>
      <c r="Y325" s="3">
        <v>213</v>
      </c>
      <c r="Z325" s="3">
        <v>1</v>
      </c>
      <c r="AA325" s="3">
        <v>0</v>
      </c>
      <c r="AB325" s="3">
        <v>0</v>
      </c>
      <c r="AC325" s="3">
        <f t="shared" si="19"/>
        <v>300</v>
      </c>
      <c r="AD325" s="3">
        <v>3</v>
      </c>
      <c r="AE325" s="16">
        <f t="shared" si="20"/>
        <v>9.9009900990099011E-3</v>
      </c>
    </row>
    <row r="326" spans="1:31" x14ac:dyDescent="0.5">
      <c r="A326" s="3">
        <v>84</v>
      </c>
      <c r="B326" s="3">
        <v>9</v>
      </c>
      <c r="C326" s="3">
        <v>690</v>
      </c>
      <c r="D326" s="3">
        <v>2</v>
      </c>
      <c r="E326" s="3">
        <v>119</v>
      </c>
      <c r="F326" s="3">
        <v>287</v>
      </c>
      <c r="G326" s="3">
        <v>366</v>
      </c>
      <c r="H326" s="16">
        <f t="shared" si="18"/>
        <v>0.5304347826086957</v>
      </c>
      <c r="I326" s="3">
        <v>650</v>
      </c>
      <c r="J326" s="3">
        <v>28</v>
      </c>
      <c r="K326" s="3">
        <v>0</v>
      </c>
      <c r="L326" s="3">
        <v>0</v>
      </c>
      <c r="M326" s="3">
        <v>102</v>
      </c>
      <c r="N326" s="3">
        <v>0</v>
      </c>
      <c r="O326" s="3">
        <v>0</v>
      </c>
      <c r="P326" s="3">
        <v>1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2</v>
      </c>
      <c r="W326" s="3">
        <v>0</v>
      </c>
      <c r="X326" s="3">
        <v>0</v>
      </c>
      <c r="Y326" s="3">
        <v>228</v>
      </c>
      <c r="Z326" s="3">
        <v>2</v>
      </c>
      <c r="AA326" s="3">
        <v>0</v>
      </c>
      <c r="AB326" s="3">
        <v>0</v>
      </c>
      <c r="AC326" s="3">
        <f t="shared" si="19"/>
        <v>363</v>
      </c>
      <c r="AD326" s="3">
        <v>3</v>
      </c>
      <c r="AE326" s="16">
        <f t="shared" si="20"/>
        <v>8.1967213114754103E-3</v>
      </c>
    </row>
    <row r="327" spans="1:31" x14ac:dyDescent="0.5">
      <c r="A327" s="3">
        <v>84</v>
      </c>
      <c r="B327" s="3">
        <v>10</v>
      </c>
      <c r="C327" s="3">
        <v>455</v>
      </c>
      <c r="D327" s="3">
        <v>0</v>
      </c>
      <c r="E327" s="3">
        <v>91</v>
      </c>
      <c r="F327" s="3">
        <v>241</v>
      </c>
      <c r="G327" s="3">
        <v>278</v>
      </c>
      <c r="H327" s="16">
        <f t="shared" ref="H327:H372" si="23">G327/C327</f>
        <v>0.61098901098901104</v>
      </c>
      <c r="I327" s="3">
        <v>450</v>
      </c>
      <c r="J327" s="3">
        <v>11</v>
      </c>
      <c r="K327" s="3">
        <v>0</v>
      </c>
      <c r="L327" s="3">
        <v>1</v>
      </c>
      <c r="M327" s="3">
        <v>79</v>
      </c>
      <c r="N327" s="3">
        <v>0</v>
      </c>
      <c r="O327" s="3">
        <v>0</v>
      </c>
      <c r="P327" s="3">
        <v>2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177</v>
      </c>
      <c r="Z327" s="3">
        <v>3</v>
      </c>
      <c r="AA327" s="3">
        <v>0</v>
      </c>
      <c r="AB327" s="3">
        <v>0</v>
      </c>
      <c r="AC327" s="3">
        <f t="shared" ref="AC327:AC371" si="24">SUM(J327:AB327)</f>
        <v>273</v>
      </c>
      <c r="AD327" s="3">
        <v>5</v>
      </c>
      <c r="AE327" s="16">
        <f t="shared" ref="AE327:AE372" si="25">AD327/(AC327+AD327)</f>
        <v>1.7985611510791366E-2</v>
      </c>
    </row>
    <row r="328" spans="1:31" x14ac:dyDescent="0.5">
      <c r="A328" s="3">
        <v>84</v>
      </c>
      <c r="B328" s="3">
        <v>11</v>
      </c>
      <c r="C328" s="3">
        <v>648</v>
      </c>
      <c r="D328" s="3">
        <v>1</v>
      </c>
      <c r="E328" s="3">
        <v>127</v>
      </c>
      <c r="F328" s="3">
        <v>323</v>
      </c>
      <c r="G328" s="3">
        <v>396</v>
      </c>
      <c r="H328" s="16">
        <f t="shared" si="23"/>
        <v>0.61111111111111116</v>
      </c>
      <c r="I328" s="3">
        <v>600</v>
      </c>
      <c r="J328" s="3">
        <v>12</v>
      </c>
      <c r="K328" s="3">
        <v>0</v>
      </c>
      <c r="L328" s="3">
        <v>1</v>
      </c>
      <c r="M328" s="3">
        <v>40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1</v>
      </c>
      <c r="T328" s="3">
        <v>0</v>
      </c>
      <c r="U328" s="3">
        <v>0</v>
      </c>
      <c r="V328" s="3">
        <v>1</v>
      </c>
      <c r="W328" s="3">
        <v>0</v>
      </c>
      <c r="X328" s="3">
        <v>0</v>
      </c>
      <c r="Y328" s="3">
        <v>329</v>
      </c>
      <c r="Z328" s="3">
        <v>5</v>
      </c>
      <c r="AA328" s="3">
        <v>0</v>
      </c>
      <c r="AB328" s="3">
        <v>0</v>
      </c>
      <c r="AC328" s="3">
        <f t="shared" si="24"/>
        <v>389</v>
      </c>
      <c r="AD328" s="3">
        <v>7</v>
      </c>
      <c r="AE328" s="16">
        <f t="shared" si="25"/>
        <v>1.7676767676767676E-2</v>
      </c>
    </row>
    <row r="329" spans="1:31" x14ac:dyDescent="0.5">
      <c r="A329" s="3">
        <v>84</v>
      </c>
      <c r="B329" s="3">
        <v>12</v>
      </c>
      <c r="C329" s="3">
        <v>1016</v>
      </c>
      <c r="D329" s="3">
        <v>1</v>
      </c>
      <c r="E329" s="3">
        <v>144</v>
      </c>
      <c r="F329" s="3">
        <v>429</v>
      </c>
      <c r="G329" s="3">
        <v>529</v>
      </c>
      <c r="H329" s="16">
        <f t="shared" si="23"/>
        <v>0.52066929133858264</v>
      </c>
      <c r="I329" s="3">
        <v>950</v>
      </c>
      <c r="J329" s="3">
        <v>36</v>
      </c>
      <c r="K329" s="3">
        <v>0</v>
      </c>
      <c r="L329" s="3">
        <v>2</v>
      </c>
      <c r="M329" s="3">
        <v>84</v>
      </c>
      <c r="N329" s="3">
        <v>0</v>
      </c>
      <c r="O329" s="3">
        <v>0</v>
      </c>
      <c r="P329" s="3">
        <v>1</v>
      </c>
      <c r="Q329" s="3">
        <v>0</v>
      </c>
      <c r="R329" s="3">
        <v>0</v>
      </c>
      <c r="S329" s="3">
        <v>7</v>
      </c>
      <c r="T329" s="3">
        <v>0</v>
      </c>
      <c r="U329" s="3">
        <v>1</v>
      </c>
      <c r="V329" s="3">
        <v>0</v>
      </c>
      <c r="W329" s="3">
        <v>0</v>
      </c>
      <c r="X329" s="3">
        <v>0</v>
      </c>
      <c r="Y329" s="3">
        <v>382</v>
      </c>
      <c r="Z329" s="3">
        <v>4</v>
      </c>
      <c r="AA329" s="3">
        <v>0</v>
      </c>
      <c r="AB329" s="3">
        <v>0</v>
      </c>
      <c r="AC329" s="3">
        <f t="shared" si="24"/>
        <v>517</v>
      </c>
      <c r="AD329" s="3">
        <v>12</v>
      </c>
      <c r="AE329" s="16">
        <f t="shared" si="25"/>
        <v>2.2684310018903593E-2</v>
      </c>
    </row>
    <row r="330" spans="1:31" x14ac:dyDescent="0.5">
      <c r="A330" s="3">
        <v>84</v>
      </c>
      <c r="B330" s="3">
        <v>13</v>
      </c>
      <c r="C330" s="3">
        <v>393</v>
      </c>
      <c r="D330" s="3">
        <v>0</v>
      </c>
      <c r="E330" s="3">
        <v>78</v>
      </c>
      <c r="F330" s="3">
        <v>198</v>
      </c>
      <c r="G330" s="3">
        <v>221</v>
      </c>
      <c r="H330" s="16">
        <f t="shared" si="23"/>
        <v>0.56234096692111957</v>
      </c>
      <c r="I330" s="3">
        <v>400</v>
      </c>
      <c r="J330" s="3">
        <v>5</v>
      </c>
      <c r="K330" s="3">
        <v>0</v>
      </c>
      <c r="L330" s="3">
        <v>0</v>
      </c>
      <c r="M330" s="3">
        <v>66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138</v>
      </c>
      <c r="Z330" s="3">
        <v>3</v>
      </c>
      <c r="AA330" s="3">
        <v>0</v>
      </c>
      <c r="AB330" s="3">
        <v>0</v>
      </c>
      <c r="AC330" s="3">
        <f t="shared" si="24"/>
        <v>212</v>
      </c>
      <c r="AD330" s="3">
        <v>9</v>
      </c>
      <c r="AE330" s="16">
        <f t="shared" si="25"/>
        <v>4.072398190045249E-2</v>
      </c>
    </row>
    <row r="331" spans="1:31" x14ac:dyDescent="0.5">
      <c r="A331" s="3">
        <v>84</v>
      </c>
      <c r="B331" s="3">
        <v>14</v>
      </c>
      <c r="C331" s="3">
        <v>542</v>
      </c>
      <c r="D331" s="3">
        <v>0</v>
      </c>
      <c r="E331" s="3">
        <v>90</v>
      </c>
      <c r="F331" s="3">
        <v>250</v>
      </c>
      <c r="G331" s="3">
        <v>315</v>
      </c>
      <c r="H331" s="16">
        <f t="shared" si="23"/>
        <v>0.58118081180811809</v>
      </c>
      <c r="I331" s="3">
        <v>500</v>
      </c>
      <c r="J331" s="3">
        <v>11</v>
      </c>
      <c r="K331" s="3">
        <v>0</v>
      </c>
      <c r="L331" s="3">
        <v>0</v>
      </c>
      <c r="M331" s="3">
        <v>63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233</v>
      </c>
      <c r="Z331" s="3">
        <v>2</v>
      </c>
      <c r="AA331" s="3">
        <v>0</v>
      </c>
      <c r="AB331" s="3">
        <v>0</v>
      </c>
      <c r="AC331" s="3">
        <f t="shared" si="24"/>
        <v>309</v>
      </c>
      <c r="AD331" s="3">
        <v>6</v>
      </c>
      <c r="AE331" s="16">
        <f t="shared" si="25"/>
        <v>1.9047619047619049E-2</v>
      </c>
    </row>
    <row r="332" spans="1:31" x14ac:dyDescent="0.5">
      <c r="A332" s="3">
        <v>84</v>
      </c>
      <c r="B332" s="3">
        <v>15</v>
      </c>
      <c r="C332" s="3">
        <v>349</v>
      </c>
      <c r="D332" s="3">
        <v>2</v>
      </c>
      <c r="E332" s="3">
        <v>84</v>
      </c>
      <c r="F332" s="3">
        <v>155</v>
      </c>
      <c r="G332" s="3">
        <v>200</v>
      </c>
      <c r="H332" s="16">
        <f t="shared" si="23"/>
        <v>0.57306590257879653</v>
      </c>
      <c r="I332" s="3">
        <v>350</v>
      </c>
      <c r="J332" s="3">
        <v>6</v>
      </c>
      <c r="K332" s="3">
        <v>0</v>
      </c>
      <c r="L332" s="3">
        <v>1</v>
      </c>
      <c r="M332" s="3">
        <v>42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148</v>
      </c>
      <c r="Z332" s="3">
        <v>2</v>
      </c>
      <c r="AA332" s="3">
        <v>0</v>
      </c>
      <c r="AB332" s="3">
        <v>0</v>
      </c>
      <c r="AC332" s="3">
        <f t="shared" si="24"/>
        <v>199</v>
      </c>
      <c r="AD332" s="3">
        <v>1</v>
      </c>
      <c r="AE332" s="16">
        <f t="shared" si="25"/>
        <v>5.0000000000000001E-3</v>
      </c>
    </row>
    <row r="333" spans="1:31" x14ac:dyDescent="0.5">
      <c r="A333" s="3">
        <v>84</v>
      </c>
      <c r="B333" s="3">
        <v>16</v>
      </c>
      <c r="C333" s="3">
        <v>345</v>
      </c>
      <c r="D333" s="3">
        <v>0</v>
      </c>
      <c r="E333" s="3">
        <v>99</v>
      </c>
      <c r="F333" s="3">
        <v>192</v>
      </c>
      <c r="G333" s="3">
        <v>204</v>
      </c>
      <c r="H333" s="16">
        <f t="shared" si="23"/>
        <v>0.59130434782608698</v>
      </c>
      <c r="I333" s="3">
        <v>350</v>
      </c>
      <c r="J333" s="3">
        <v>7</v>
      </c>
      <c r="K333" s="3">
        <v>0</v>
      </c>
      <c r="L333" s="3">
        <v>0</v>
      </c>
      <c r="M333" s="3">
        <v>54</v>
      </c>
      <c r="N333" s="3">
        <v>0</v>
      </c>
      <c r="O333" s="3">
        <v>0</v>
      </c>
      <c r="P333" s="3">
        <v>1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142</v>
      </c>
      <c r="Z333" s="3">
        <v>0</v>
      </c>
      <c r="AA333" s="3">
        <v>0</v>
      </c>
      <c r="AB333" s="3">
        <v>0</v>
      </c>
      <c r="AC333" s="3">
        <f t="shared" si="24"/>
        <v>204</v>
      </c>
      <c r="AD333" s="3">
        <v>0</v>
      </c>
      <c r="AE333" s="16">
        <f t="shared" si="25"/>
        <v>0</v>
      </c>
    </row>
    <row r="334" spans="1:31" x14ac:dyDescent="0.5">
      <c r="A334" s="3">
        <v>84</v>
      </c>
      <c r="B334" s="3">
        <v>17</v>
      </c>
      <c r="C334" s="3">
        <v>658</v>
      </c>
      <c r="D334" s="3">
        <v>0</v>
      </c>
      <c r="E334" s="3">
        <v>81</v>
      </c>
      <c r="F334" s="3">
        <v>267</v>
      </c>
      <c r="G334" s="3">
        <v>356</v>
      </c>
      <c r="H334" s="16">
        <f t="shared" si="23"/>
        <v>0.54103343465045595</v>
      </c>
      <c r="I334" s="3">
        <v>650</v>
      </c>
      <c r="J334" s="3">
        <v>18</v>
      </c>
      <c r="K334" s="3">
        <v>0</v>
      </c>
      <c r="L334" s="3">
        <v>2</v>
      </c>
      <c r="M334" s="3">
        <v>93</v>
      </c>
      <c r="N334" s="3">
        <v>0</v>
      </c>
      <c r="O334" s="3">
        <v>2</v>
      </c>
      <c r="P334" s="3">
        <v>0</v>
      </c>
      <c r="Q334" s="3">
        <v>0</v>
      </c>
      <c r="R334" s="3">
        <v>0</v>
      </c>
      <c r="S334" s="3">
        <v>1</v>
      </c>
      <c r="T334" s="3">
        <v>0</v>
      </c>
      <c r="U334" s="3">
        <v>0</v>
      </c>
      <c r="V334" s="3">
        <v>0</v>
      </c>
      <c r="W334" s="3">
        <v>0</v>
      </c>
      <c r="X334" s="3">
        <v>1</v>
      </c>
      <c r="Y334" s="3">
        <v>228</v>
      </c>
      <c r="Z334" s="3">
        <v>1</v>
      </c>
      <c r="AA334" s="3">
        <v>0</v>
      </c>
      <c r="AB334" s="3">
        <v>0</v>
      </c>
      <c r="AC334" s="3">
        <f t="shared" si="24"/>
        <v>346</v>
      </c>
      <c r="AD334" s="3">
        <v>10</v>
      </c>
      <c r="AE334" s="16">
        <f t="shared" si="25"/>
        <v>2.8089887640449437E-2</v>
      </c>
    </row>
    <row r="335" spans="1:31" x14ac:dyDescent="0.5">
      <c r="A335" s="3">
        <v>84</v>
      </c>
      <c r="B335" s="3">
        <v>18</v>
      </c>
      <c r="C335" s="3">
        <v>1138</v>
      </c>
      <c r="D335" s="3">
        <v>0</v>
      </c>
      <c r="E335" s="3">
        <v>260</v>
      </c>
      <c r="F335" s="3">
        <v>674</v>
      </c>
      <c r="G335" s="3">
        <v>764</v>
      </c>
      <c r="H335" s="16">
        <f t="shared" si="23"/>
        <v>0.67135325131810197</v>
      </c>
      <c r="I335" s="3">
        <v>1100</v>
      </c>
      <c r="J335" s="3">
        <v>41</v>
      </c>
      <c r="K335" s="3">
        <v>0</v>
      </c>
      <c r="L335" s="3">
        <v>0</v>
      </c>
      <c r="M335" s="3">
        <v>171</v>
      </c>
      <c r="N335" s="3">
        <v>0</v>
      </c>
      <c r="O335" s="3">
        <v>0</v>
      </c>
      <c r="P335" s="3">
        <v>1</v>
      </c>
      <c r="Q335" s="3">
        <v>0</v>
      </c>
      <c r="R335" s="3">
        <v>0</v>
      </c>
      <c r="S335" s="3">
        <v>1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478</v>
      </c>
      <c r="Z335" s="3">
        <v>56</v>
      </c>
      <c r="AA335" s="3">
        <v>0</v>
      </c>
      <c r="AB335" s="3">
        <v>0</v>
      </c>
      <c r="AC335" s="3">
        <f t="shared" si="24"/>
        <v>748</v>
      </c>
      <c r="AD335" s="3">
        <v>16</v>
      </c>
      <c r="AE335" s="16">
        <f t="shared" si="25"/>
        <v>2.0942408376963352E-2</v>
      </c>
    </row>
    <row r="336" spans="1:31" x14ac:dyDescent="0.5">
      <c r="A336" s="3">
        <v>84</v>
      </c>
      <c r="B336" s="3">
        <v>19</v>
      </c>
      <c r="C336" s="3">
        <v>746</v>
      </c>
      <c r="D336" s="3">
        <v>3</v>
      </c>
      <c r="E336" s="3">
        <v>170</v>
      </c>
      <c r="F336" s="3">
        <v>460</v>
      </c>
      <c r="G336" s="3">
        <v>522</v>
      </c>
      <c r="H336" s="16">
        <f t="shared" si="23"/>
        <v>0.69973190348525471</v>
      </c>
      <c r="I336" s="3">
        <v>700</v>
      </c>
      <c r="J336" s="3">
        <v>28</v>
      </c>
      <c r="K336" s="3">
        <v>0</v>
      </c>
      <c r="L336" s="3">
        <v>0</v>
      </c>
      <c r="M336" s="3">
        <v>77</v>
      </c>
      <c r="N336" s="3">
        <v>0</v>
      </c>
      <c r="O336" s="3">
        <v>0</v>
      </c>
      <c r="P336" s="3">
        <v>1</v>
      </c>
      <c r="Q336" s="3">
        <v>1</v>
      </c>
      <c r="R336" s="3">
        <v>0</v>
      </c>
      <c r="S336" s="3">
        <v>0</v>
      </c>
      <c r="T336" s="3">
        <v>1</v>
      </c>
      <c r="U336" s="3">
        <v>0</v>
      </c>
      <c r="V336" s="3">
        <v>1</v>
      </c>
      <c r="W336" s="3">
        <v>1</v>
      </c>
      <c r="X336" s="3">
        <v>0</v>
      </c>
      <c r="Y336" s="3">
        <v>404</v>
      </c>
      <c r="Z336" s="3">
        <v>5</v>
      </c>
      <c r="AA336" s="3">
        <v>0</v>
      </c>
      <c r="AB336" s="3">
        <v>0</v>
      </c>
      <c r="AC336" s="3">
        <f t="shared" si="24"/>
        <v>519</v>
      </c>
      <c r="AD336" s="3">
        <v>3</v>
      </c>
      <c r="AE336" s="16">
        <f t="shared" si="25"/>
        <v>5.7471264367816091E-3</v>
      </c>
    </row>
    <row r="337" spans="1:31" x14ac:dyDescent="0.5">
      <c r="A337" s="3">
        <v>84</v>
      </c>
      <c r="B337" s="3">
        <v>20</v>
      </c>
      <c r="C337" s="3">
        <v>236</v>
      </c>
      <c r="D337" s="3">
        <v>1</v>
      </c>
      <c r="E337" s="3">
        <v>73</v>
      </c>
      <c r="F337" s="3">
        <v>133</v>
      </c>
      <c r="G337" s="3">
        <v>160</v>
      </c>
      <c r="H337" s="16">
        <f t="shared" si="23"/>
        <v>0.67796610169491522</v>
      </c>
      <c r="I337" s="3">
        <v>250</v>
      </c>
      <c r="J337" s="3">
        <v>3</v>
      </c>
      <c r="K337" s="3">
        <v>0</v>
      </c>
      <c r="L337" s="3">
        <v>2</v>
      </c>
      <c r="M337" s="3">
        <v>32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122</v>
      </c>
      <c r="Z337" s="3">
        <v>0</v>
      </c>
      <c r="AA337" s="3">
        <v>0</v>
      </c>
      <c r="AB337" s="3">
        <v>0</v>
      </c>
      <c r="AC337" s="3">
        <f t="shared" si="24"/>
        <v>159</v>
      </c>
      <c r="AD337" s="3">
        <v>1</v>
      </c>
      <c r="AE337" s="16">
        <f t="shared" si="25"/>
        <v>6.2500000000000003E-3</v>
      </c>
    </row>
    <row r="338" spans="1:31" x14ac:dyDescent="0.5">
      <c r="A338" s="3">
        <v>84</v>
      </c>
      <c r="B338" s="3">
        <v>21</v>
      </c>
      <c r="C338" s="3">
        <v>297</v>
      </c>
      <c r="D338" s="3">
        <v>0</v>
      </c>
      <c r="E338" s="3">
        <v>67</v>
      </c>
      <c r="F338" s="3">
        <v>144</v>
      </c>
      <c r="G338" s="3">
        <v>164</v>
      </c>
      <c r="H338" s="16">
        <f t="shared" si="23"/>
        <v>0.55218855218855223</v>
      </c>
      <c r="I338" s="3">
        <v>300</v>
      </c>
      <c r="J338" s="3">
        <v>12</v>
      </c>
      <c r="K338" s="3">
        <v>0</v>
      </c>
      <c r="L338" s="3">
        <v>1</v>
      </c>
      <c r="M338" s="3">
        <v>22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129</v>
      </c>
      <c r="Z338" s="3">
        <v>0</v>
      </c>
      <c r="AA338" s="3">
        <v>0</v>
      </c>
      <c r="AB338" s="3">
        <v>0</v>
      </c>
      <c r="AC338" s="3">
        <f t="shared" si="24"/>
        <v>164</v>
      </c>
      <c r="AD338" s="3">
        <v>0</v>
      </c>
      <c r="AE338" s="16">
        <f t="shared" si="25"/>
        <v>0</v>
      </c>
    </row>
    <row r="339" spans="1:31" x14ac:dyDescent="0.5">
      <c r="A339" s="3">
        <v>84</v>
      </c>
      <c r="B339" s="3">
        <v>22</v>
      </c>
      <c r="C339" s="3">
        <v>272</v>
      </c>
      <c r="D339" s="3">
        <v>0</v>
      </c>
      <c r="E339" s="3">
        <v>62</v>
      </c>
      <c r="F339" s="3">
        <v>120</v>
      </c>
      <c r="G339" s="3">
        <v>148</v>
      </c>
      <c r="H339" s="16">
        <f t="shared" si="23"/>
        <v>0.54411764705882348</v>
      </c>
      <c r="I339" s="3">
        <v>300</v>
      </c>
      <c r="J339" s="3">
        <v>8</v>
      </c>
      <c r="K339" s="3">
        <v>0</v>
      </c>
      <c r="L339" s="3">
        <v>0</v>
      </c>
      <c r="M339" s="3">
        <v>49</v>
      </c>
      <c r="N339" s="3">
        <v>0</v>
      </c>
      <c r="O339" s="3">
        <v>0</v>
      </c>
      <c r="P339" s="3">
        <v>1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88</v>
      </c>
      <c r="Z339" s="3">
        <v>1</v>
      </c>
      <c r="AA339" s="3">
        <v>0</v>
      </c>
      <c r="AB339" s="3">
        <v>0</v>
      </c>
      <c r="AC339" s="3">
        <f t="shared" si="24"/>
        <v>147</v>
      </c>
      <c r="AD339" s="3">
        <v>1</v>
      </c>
      <c r="AE339" s="16">
        <f t="shared" si="25"/>
        <v>6.7567567567567571E-3</v>
      </c>
    </row>
    <row r="340" spans="1:31" x14ac:dyDescent="0.5">
      <c r="A340" s="3">
        <v>84</v>
      </c>
      <c r="B340" s="3">
        <v>23</v>
      </c>
      <c r="C340" s="3">
        <v>774</v>
      </c>
      <c r="D340" s="3">
        <v>0</v>
      </c>
      <c r="E340" s="3">
        <v>102</v>
      </c>
      <c r="F340" s="3">
        <v>276</v>
      </c>
      <c r="G340" s="3">
        <v>326</v>
      </c>
      <c r="H340" s="16">
        <f t="shared" si="23"/>
        <v>0.42118863049095606</v>
      </c>
      <c r="I340" s="3">
        <v>750</v>
      </c>
      <c r="J340" s="3">
        <v>10</v>
      </c>
      <c r="K340" s="3">
        <v>0</v>
      </c>
      <c r="L340" s="3">
        <v>0</v>
      </c>
      <c r="M340" s="3">
        <v>90</v>
      </c>
      <c r="N340" s="3">
        <v>0</v>
      </c>
      <c r="O340" s="3">
        <v>0</v>
      </c>
      <c r="P340" s="3">
        <v>0</v>
      </c>
      <c r="Q340" s="3">
        <v>1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215</v>
      </c>
      <c r="Z340" s="3">
        <v>6</v>
      </c>
      <c r="AA340" s="3">
        <v>0</v>
      </c>
      <c r="AB340" s="3">
        <v>0</v>
      </c>
      <c r="AC340" s="3">
        <f t="shared" si="24"/>
        <v>322</v>
      </c>
      <c r="AD340" s="3">
        <v>4</v>
      </c>
      <c r="AE340" s="16">
        <f t="shared" si="25"/>
        <v>1.2269938650306749E-2</v>
      </c>
    </row>
    <row r="341" spans="1:31" x14ac:dyDescent="0.5">
      <c r="A341" s="3">
        <v>84</v>
      </c>
      <c r="B341" s="3">
        <v>24</v>
      </c>
      <c r="C341" s="3">
        <v>566</v>
      </c>
      <c r="D341" s="3">
        <v>0</v>
      </c>
      <c r="E341" s="3">
        <v>160</v>
      </c>
      <c r="F341" s="3">
        <v>304</v>
      </c>
      <c r="G341" s="3">
        <v>375</v>
      </c>
      <c r="H341" s="16">
        <f t="shared" si="23"/>
        <v>0.66254416961130747</v>
      </c>
      <c r="I341" s="3">
        <v>550</v>
      </c>
      <c r="J341" s="3">
        <v>9</v>
      </c>
      <c r="K341" s="3">
        <v>0</v>
      </c>
      <c r="L341" s="3">
        <v>0</v>
      </c>
      <c r="M341" s="3">
        <v>160</v>
      </c>
      <c r="N341" s="3">
        <v>0</v>
      </c>
      <c r="O341" s="3">
        <v>0</v>
      </c>
      <c r="P341" s="3">
        <v>0</v>
      </c>
      <c r="Q341" s="3">
        <v>1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1</v>
      </c>
      <c r="Y341" s="3">
        <v>197</v>
      </c>
      <c r="Z341" s="3">
        <v>2</v>
      </c>
      <c r="AA341" s="3">
        <v>0</v>
      </c>
      <c r="AB341" s="3">
        <v>0</v>
      </c>
      <c r="AC341" s="3">
        <f t="shared" si="24"/>
        <v>370</v>
      </c>
      <c r="AD341" s="3">
        <v>5</v>
      </c>
      <c r="AE341" s="16">
        <f t="shared" si="25"/>
        <v>1.3333333333333334E-2</v>
      </c>
    </row>
    <row r="342" spans="1:31" x14ac:dyDescent="0.5">
      <c r="A342" s="3">
        <v>84</v>
      </c>
      <c r="B342" s="3">
        <v>25</v>
      </c>
      <c r="C342" s="3">
        <v>427</v>
      </c>
      <c r="D342" s="3">
        <v>2</v>
      </c>
      <c r="E342" s="3">
        <v>80</v>
      </c>
      <c r="F342" s="3">
        <v>196</v>
      </c>
      <c r="G342" s="3">
        <v>227</v>
      </c>
      <c r="H342" s="16">
        <f t="shared" si="23"/>
        <v>0.53161592505854804</v>
      </c>
      <c r="I342" s="3">
        <v>450</v>
      </c>
      <c r="J342" s="3">
        <v>16</v>
      </c>
      <c r="K342" s="3">
        <v>0</v>
      </c>
      <c r="L342" s="3">
        <v>1</v>
      </c>
      <c r="M342" s="3">
        <v>61</v>
      </c>
      <c r="N342" s="3">
        <v>0</v>
      </c>
      <c r="O342" s="3">
        <v>1</v>
      </c>
      <c r="P342" s="3">
        <v>0</v>
      </c>
      <c r="Q342" s="3">
        <v>0</v>
      </c>
      <c r="R342" s="3">
        <v>0</v>
      </c>
      <c r="S342" s="3">
        <v>1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145</v>
      </c>
      <c r="Z342" s="3">
        <v>2</v>
      </c>
      <c r="AA342" s="3">
        <v>0</v>
      </c>
      <c r="AB342" s="3">
        <v>0</v>
      </c>
      <c r="AC342" s="3">
        <f t="shared" si="24"/>
        <v>227</v>
      </c>
      <c r="AD342" s="3">
        <v>0</v>
      </c>
      <c r="AE342" s="16">
        <f t="shared" si="25"/>
        <v>0</v>
      </c>
    </row>
    <row r="343" spans="1:31" x14ac:dyDescent="0.5">
      <c r="A343" s="3">
        <v>84</v>
      </c>
      <c r="B343" s="3">
        <v>26</v>
      </c>
      <c r="C343" s="3">
        <v>454</v>
      </c>
      <c r="D343" s="3">
        <v>0</v>
      </c>
      <c r="E343" s="3">
        <v>80</v>
      </c>
      <c r="F343" s="3">
        <v>195</v>
      </c>
      <c r="G343" s="3">
        <v>246</v>
      </c>
      <c r="H343" s="16">
        <f t="shared" si="23"/>
        <v>0.54185022026431717</v>
      </c>
      <c r="I343" s="3">
        <v>450</v>
      </c>
      <c r="J343" s="3">
        <v>9</v>
      </c>
      <c r="K343" s="3">
        <v>0</v>
      </c>
      <c r="L343" s="3">
        <v>0</v>
      </c>
      <c r="M343" s="3">
        <v>83</v>
      </c>
      <c r="N343" s="3">
        <v>0</v>
      </c>
      <c r="O343" s="3">
        <v>0</v>
      </c>
      <c r="P343" s="3">
        <v>0</v>
      </c>
      <c r="Q343" s="3">
        <v>1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147</v>
      </c>
      <c r="Z343" s="3">
        <v>2</v>
      </c>
      <c r="AA343" s="3">
        <v>0</v>
      </c>
      <c r="AB343" s="3">
        <v>0</v>
      </c>
      <c r="AC343" s="3">
        <f t="shared" si="24"/>
        <v>242</v>
      </c>
      <c r="AD343" s="3">
        <v>4</v>
      </c>
      <c r="AE343" s="16">
        <f t="shared" si="25"/>
        <v>1.6260162601626018E-2</v>
      </c>
    </row>
    <row r="344" spans="1:31" x14ac:dyDescent="0.5">
      <c r="A344" s="3">
        <v>84</v>
      </c>
      <c r="B344" s="3">
        <v>27</v>
      </c>
      <c r="C344" s="3">
        <v>410</v>
      </c>
      <c r="D344" s="3">
        <v>1</v>
      </c>
      <c r="E344" s="3">
        <v>44</v>
      </c>
      <c r="F344" s="3">
        <v>210</v>
      </c>
      <c r="G344" s="3">
        <v>245</v>
      </c>
      <c r="H344" s="16">
        <f t="shared" si="23"/>
        <v>0.59756097560975607</v>
      </c>
      <c r="I344" s="3">
        <v>450</v>
      </c>
      <c r="J344" s="3">
        <v>7</v>
      </c>
      <c r="K344" s="3">
        <v>0</v>
      </c>
      <c r="L344" s="3">
        <v>0</v>
      </c>
      <c r="M344" s="3">
        <v>44</v>
      </c>
      <c r="N344" s="3">
        <v>0</v>
      </c>
      <c r="O344" s="3">
        <v>0</v>
      </c>
      <c r="P344" s="3">
        <v>0</v>
      </c>
      <c r="Q344" s="3">
        <v>1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192</v>
      </c>
      <c r="Z344" s="3">
        <v>0</v>
      </c>
      <c r="AA344" s="3">
        <v>0</v>
      </c>
      <c r="AB344" s="3">
        <v>0</v>
      </c>
      <c r="AC344" s="3">
        <f t="shared" si="24"/>
        <v>244</v>
      </c>
      <c r="AD344" s="3">
        <v>1</v>
      </c>
      <c r="AE344" s="16">
        <f t="shared" si="25"/>
        <v>4.0816326530612249E-3</v>
      </c>
    </row>
    <row r="345" spans="1:31" x14ac:dyDescent="0.5">
      <c r="A345" s="3">
        <v>84</v>
      </c>
      <c r="B345" s="3">
        <v>28</v>
      </c>
      <c r="C345" s="3">
        <v>322</v>
      </c>
      <c r="D345" s="3">
        <v>0</v>
      </c>
      <c r="E345" s="3">
        <v>54</v>
      </c>
      <c r="F345" s="3">
        <v>169</v>
      </c>
      <c r="G345" s="3">
        <v>171</v>
      </c>
      <c r="H345" s="16">
        <f t="shared" si="23"/>
        <v>0.53105590062111796</v>
      </c>
      <c r="I345" s="3">
        <v>350</v>
      </c>
      <c r="J345" s="3">
        <v>5</v>
      </c>
      <c r="K345" s="3">
        <v>0</v>
      </c>
      <c r="L345" s="3">
        <v>1</v>
      </c>
      <c r="M345" s="3">
        <v>42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122</v>
      </c>
      <c r="Z345" s="3">
        <v>0</v>
      </c>
      <c r="AA345" s="3">
        <v>0</v>
      </c>
      <c r="AB345" s="3">
        <v>0</v>
      </c>
      <c r="AC345" s="3">
        <f t="shared" si="24"/>
        <v>170</v>
      </c>
      <c r="AD345" s="3">
        <v>1</v>
      </c>
      <c r="AE345" s="16">
        <f t="shared" si="25"/>
        <v>5.8479532163742687E-3</v>
      </c>
    </row>
    <row r="346" spans="1:31" x14ac:dyDescent="0.5">
      <c r="A346" s="3">
        <v>84</v>
      </c>
      <c r="B346" s="3">
        <v>29</v>
      </c>
      <c r="C346" s="3">
        <v>265</v>
      </c>
      <c r="D346" s="3">
        <v>0</v>
      </c>
      <c r="E346" s="3">
        <v>59</v>
      </c>
      <c r="F346" s="3">
        <v>143</v>
      </c>
      <c r="G346" s="3">
        <v>162</v>
      </c>
      <c r="H346" s="16">
        <f t="shared" si="23"/>
        <v>0.61132075471698111</v>
      </c>
      <c r="I346" s="3">
        <v>300</v>
      </c>
      <c r="J346" s="3">
        <v>9</v>
      </c>
      <c r="K346" s="3">
        <v>0</v>
      </c>
      <c r="L346" s="3">
        <v>0</v>
      </c>
      <c r="M346" s="3">
        <v>69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81</v>
      </c>
      <c r="Z346" s="3">
        <v>3</v>
      </c>
      <c r="AA346" s="3">
        <v>0</v>
      </c>
      <c r="AB346" s="3">
        <v>0</v>
      </c>
      <c r="AC346" s="3">
        <f t="shared" si="24"/>
        <v>162</v>
      </c>
      <c r="AD346" s="3">
        <v>0</v>
      </c>
      <c r="AE346" s="16">
        <f t="shared" si="25"/>
        <v>0</v>
      </c>
    </row>
    <row r="347" spans="1:31" x14ac:dyDescent="0.5">
      <c r="A347" s="3">
        <v>84</v>
      </c>
      <c r="B347" s="3">
        <v>30</v>
      </c>
      <c r="C347" s="3">
        <v>205</v>
      </c>
      <c r="D347" s="3">
        <v>0</v>
      </c>
      <c r="E347" s="3">
        <v>28</v>
      </c>
      <c r="F347" s="3">
        <v>114</v>
      </c>
      <c r="G347" s="3">
        <v>122</v>
      </c>
      <c r="H347" s="16">
        <f t="shared" si="23"/>
        <v>0.59512195121951217</v>
      </c>
      <c r="I347" s="3">
        <v>250</v>
      </c>
      <c r="J347" s="3">
        <v>4</v>
      </c>
      <c r="K347" s="3">
        <v>0</v>
      </c>
      <c r="L347" s="3">
        <v>0</v>
      </c>
      <c r="M347" s="3">
        <v>29</v>
      </c>
      <c r="N347" s="3">
        <v>0</v>
      </c>
      <c r="O347" s="3">
        <v>1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85</v>
      </c>
      <c r="Z347" s="3">
        <v>1</v>
      </c>
      <c r="AA347" s="3">
        <v>0</v>
      </c>
      <c r="AB347" s="3">
        <v>0</v>
      </c>
      <c r="AC347" s="3">
        <f t="shared" si="24"/>
        <v>120</v>
      </c>
      <c r="AD347" s="3">
        <v>2</v>
      </c>
      <c r="AE347" s="16">
        <f t="shared" si="25"/>
        <v>1.6393442622950821E-2</v>
      </c>
    </row>
    <row r="348" spans="1:31" x14ac:dyDescent="0.5">
      <c r="A348" s="3">
        <v>84</v>
      </c>
      <c r="B348" s="3">
        <v>31</v>
      </c>
      <c r="C348" s="3">
        <v>557</v>
      </c>
      <c r="D348" s="3">
        <v>0</v>
      </c>
      <c r="E348" s="3">
        <v>89</v>
      </c>
      <c r="F348" s="3">
        <v>261</v>
      </c>
      <c r="G348" s="3">
        <v>321</v>
      </c>
      <c r="H348" s="16">
        <f t="shared" si="23"/>
        <v>0.57630161579892281</v>
      </c>
      <c r="I348" s="3">
        <v>500</v>
      </c>
      <c r="J348" s="3">
        <v>6</v>
      </c>
      <c r="K348" s="3">
        <v>0</v>
      </c>
      <c r="L348" s="3">
        <v>1</v>
      </c>
      <c r="M348" s="3">
        <v>97</v>
      </c>
      <c r="N348" s="3">
        <v>0</v>
      </c>
      <c r="O348" s="3">
        <v>0</v>
      </c>
      <c r="P348" s="3">
        <v>0</v>
      </c>
      <c r="Q348" s="3">
        <v>1</v>
      </c>
      <c r="R348" s="3">
        <v>0</v>
      </c>
      <c r="S348" s="3">
        <v>1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204</v>
      </c>
      <c r="Z348" s="3">
        <v>3</v>
      </c>
      <c r="AA348" s="3">
        <v>0</v>
      </c>
      <c r="AB348" s="3">
        <v>0</v>
      </c>
      <c r="AC348" s="3">
        <f t="shared" si="24"/>
        <v>313</v>
      </c>
      <c r="AD348" s="3">
        <v>8</v>
      </c>
      <c r="AE348" s="16">
        <f t="shared" si="25"/>
        <v>2.4922118380062305E-2</v>
      </c>
    </row>
    <row r="349" spans="1:31" x14ac:dyDescent="0.5">
      <c r="A349" s="3">
        <v>84</v>
      </c>
      <c r="B349" s="3">
        <v>32</v>
      </c>
      <c r="C349" s="3">
        <v>651</v>
      </c>
      <c r="D349" s="3">
        <v>0</v>
      </c>
      <c r="E349" s="3">
        <v>116</v>
      </c>
      <c r="F349" s="3">
        <v>321</v>
      </c>
      <c r="G349" s="3">
        <v>374</v>
      </c>
      <c r="H349" s="16">
        <f t="shared" si="23"/>
        <v>0.57450076804915517</v>
      </c>
      <c r="I349" s="3">
        <v>600</v>
      </c>
      <c r="J349" s="3">
        <v>11</v>
      </c>
      <c r="K349" s="3">
        <v>0</v>
      </c>
      <c r="L349" s="3">
        <v>1</v>
      </c>
      <c r="M349" s="3">
        <v>112</v>
      </c>
      <c r="N349" s="3">
        <v>0</v>
      </c>
      <c r="O349" s="3">
        <v>0</v>
      </c>
      <c r="P349" s="3">
        <v>1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244</v>
      </c>
      <c r="Z349" s="3">
        <v>1</v>
      </c>
      <c r="AA349" s="3">
        <v>0</v>
      </c>
      <c r="AB349" s="3">
        <v>0</v>
      </c>
      <c r="AC349" s="3">
        <f t="shared" si="24"/>
        <v>370</v>
      </c>
      <c r="AD349" s="3">
        <v>4</v>
      </c>
      <c r="AE349" s="16">
        <f t="shared" si="25"/>
        <v>1.06951871657754E-2</v>
      </c>
    </row>
    <row r="350" spans="1:31" x14ac:dyDescent="0.5">
      <c r="A350" s="3">
        <v>84</v>
      </c>
      <c r="B350" s="3">
        <v>33</v>
      </c>
      <c r="C350" s="3">
        <v>341</v>
      </c>
      <c r="D350" s="3">
        <v>0</v>
      </c>
      <c r="E350" s="3">
        <v>88</v>
      </c>
      <c r="F350" s="3">
        <v>174</v>
      </c>
      <c r="G350" s="3">
        <v>198</v>
      </c>
      <c r="H350" s="16">
        <f t="shared" si="23"/>
        <v>0.58064516129032262</v>
      </c>
      <c r="I350" s="3">
        <v>350</v>
      </c>
      <c r="J350" s="3">
        <v>2</v>
      </c>
      <c r="K350" s="3">
        <v>0</v>
      </c>
      <c r="L350" s="3">
        <v>0</v>
      </c>
      <c r="M350" s="3">
        <v>56</v>
      </c>
      <c r="N350" s="3">
        <v>0</v>
      </c>
      <c r="O350" s="3">
        <v>0</v>
      </c>
      <c r="P350" s="3">
        <v>0</v>
      </c>
      <c r="Q350" s="3">
        <v>1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132</v>
      </c>
      <c r="Z350" s="3">
        <v>0</v>
      </c>
      <c r="AA350" s="3">
        <v>0</v>
      </c>
      <c r="AB350" s="3">
        <v>0</v>
      </c>
      <c r="AC350" s="3">
        <f t="shared" si="24"/>
        <v>191</v>
      </c>
      <c r="AD350" s="3">
        <v>7</v>
      </c>
      <c r="AE350" s="16">
        <f t="shared" si="25"/>
        <v>3.5353535353535352E-2</v>
      </c>
    </row>
    <row r="351" spans="1:31" x14ac:dyDescent="0.5">
      <c r="A351" s="3">
        <v>84</v>
      </c>
      <c r="B351" s="3">
        <v>34</v>
      </c>
      <c r="C351" s="3">
        <v>194</v>
      </c>
      <c r="D351" s="3">
        <v>2</v>
      </c>
      <c r="E351" s="3">
        <v>24</v>
      </c>
      <c r="F351" s="3">
        <v>77</v>
      </c>
      <c r="G351" s="3">
        <v>92</v>
      </c>
      <c r="H351" s="16">
        <f t="shared" si="23"/>
        <v>0.47422680412371132</v>
      </c>
      <c r="I351" s="3">
        <v>200</v>
      </c>
      <c r="J351" s="3">
        <v>0</v>
      </c>
      <c r="K351" s="3">
        <v>0</v>
      </c>
      <c r="L351" s="3">
        <v>0</v>
      </c>
      <c r="M351" s="3">
        <v>18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69</v>
      </c>
      <c r="Z351" s="3">
        <v>5</v>
      </c>
      <c r="AA351" s="3">
        <v>0</v>
      </c>
      <c r="AB351" s="3">
        <v>0</v>
      </c>
      <c r="AC351" s="3">
        <f t="shared" si="24"/>
        <v>92</v>
      </c>
      <c r="AD351" s="3">
        <v>0</v>
      </c>
      <c r="AE351" s="16">
        <f t="shared" si="25"/>
        <v>0</v>
      </c>
    </row>
    <row r="352" spans="1:31" x14ac:dyDescent="0.5">
      <c r="A352" s="3">
        <v>84</v>
      </c>
      <c r="B352" s="3">
        <v>35</v>
      </c>
      <c r="C352" s="3">
        <v>249</v>
      </c>
      <c r="D352" s="3">
        <v>2</v>
      </c>
      <c r="E352" s="3">
        <v>37</v>
      </c>
      <c r="F352" s="3">
        <v>118</v>
      </c>
      <c r="G352" s="3">
        <v>150</v>
      </c>
      <c r="H352" s="16">
        <f t="shared" si="23"/>
        <v>0.60240963855421692</v>
      </c>
      <c r="I352" s="3">
        <v>250</v>
      </c>
      <c r="J352" s="3">
        <v>6</v>
      </c>
      <c r="K352" s="3">
        <v>0</v>
      </c>
      <c r="L352" s="3">
        <v>0</v>
      </c>
      <c r="M352" s="3">
        <v>27</v>
      </c>
      <c r="N352" s="3">
        <v>0</v>
      </c>
      <c r="O352" s="3">
        <v>0</v>
      </c>
      <c r="P352" s="3">
        <v>1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115</v>
      </c>
      <c r="Z352" s="3">
        <v>1</v>
      </c>
      <c r="AA352" s="3">
        <v>0</v>
      </c>
      <c r="AB352" s="3">
        <v>0</v>
      </c>
      <c r="AC352" s="3">
        <f t="shared" si="24"/>
        <v>150</v>
      </c>
      <c r="AD352" s="3">
        <v>0</v>
      </c>
      <c r="AE352" s="16">
        <f t="shared" si="25"/>
        <v>0</v>
      </c>
    </row>
    <row r="353" spans="1:31" x14ac:dyDescent="0.5">
      <c r="A353" s="3">
        <v>84</v>
      </c>
      <c r="B353" s="3">
        <v>36</v>
      </c>
      <c r="C353" s="3">
        <v>410</v>
      </c>
      <c r="D353" s="3">
        <v>0</v>
      </c>
      <c r="E353" s="3">
        <v>50</v>
      </c>
      <c r="F353" s="3">
        <v>198</v>
      </c>
      <c r="G353" s="3">
        <v>233</v>
      </c>
      <c r="H353" s="16">
        <f t="shared" si="23"/>
        <v>0.56829268292682922</v>
      </c>
      <c r="I353" s="3">
        <v>450</v>
      </c>
      <c r="J353" s="3">
        <v>3</v>
      </c>
      <c r="K353" s="3">
        <v>0</v>
      </c>
      <c r="L353" s="3">
        <v>1</v>
      </c>
      <c r="M353" s="3">
        <v>89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133</v>
      </c>
      <c r="Z353" s="3">
        <v>6</v>
      </c>
      <c r="AA353" s="3">
        <v>0</v>
      </c>
      <c r="AB353" s="3">
        <v>0</v>
      </c>
      <c r="AC353" s="3">
        <f t="shared" si="24"/>
        <v>232</v>
      </c>
      <c r="AD353" s="3">
        <v>1</v>
      </c>
      <c r="AE353" s="16">
        <f t="shared" si="25"/>
        <v>4.2918454935622317E-3</v>
      </c>
    </row>
    <row r="354" spans="1:31" x14ac:dyDescent="0.5">
      <c r="A354" s="3">
        <v>84</v>
      </c>
      <c r="B354" s="3">
        <v>37</v>
      </c>
      <c r="C354" s="3">
        <v>410</v>
      </c>
      <c r="D354" s="3">
        <v>1</v>
      </c>
      <c r="E354" s="3">
        <v>92</v>
      </c>
      <c r="F354" s="3">
        <v>218</v>
      </c>
      <c r="G354" s="3">
        <v>270</v>
      </c>
      <c r="H354" s="16">
        <f t="shared" si="23"/>
        <v>0.65853658536585369</v>
      </c>
      <c r="I354" s="3">
        <v>450</v>
      </c>
      <c r="J354" s="3">
        <v>2</v>
      </c>
      <c r="K354" s="3">
        <v>0</v>
      </c>
      <c r="L354" s="3">
        <v>0</v>
      </c>
      <c r="M354" s="3">
        <v>33</v>
      </c>
      <c r="N354" s="3">
        <v>0</v>
      </c>
      <c r="O354" s="3">
        <v>0</v>
      </c>
      <c r="P354" s="3">
        <v>1</v>
      </c>
      <c r="Q354" s="3">
        <v>1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231</v>
      </c>
      <c r="Z354" s="3">
        <v>0</v>
      </c>
      <c r="AA354" s="3">
        <v>0</v>
      </c>
      <c r="AB354" s="3">
        <v>0</v>
      </c>
      <c r="AC354" s="3">
        <f t="shared" si="24"/>
        <v>268</v>
      </c>
      <c r="AD354" s="3">
        <v>2</v>
      </c>
      <c r="AE354" s="16">
        <f t="shared" si="25"/>
        <v>7.4074074074074077E-3</v>
      </c>
    </row>
    <row r="355" spans="1:31" x14ac:dyDescent="0.5">
      <c r="A355" s="3">
        <v>84</v>
      </c>
      <c r="B355" s="3">
        <v>38</v>
      </c>
      <c r="C355" s="3">
        <v>235</v>
      </c>
      <c r="D355" s="3">
        <v>1</v>
      </c>
      <c r="E355" s="3">
        <v>52</v>
      </c>
      <c r="F355" s="3">
        <v>111</v>
      </c>
      <c r="G355" s="3">
        <v>148</v>
      </c>
      <c r="H355" s="16">
        <f t="shared" si="23"/>
        <v>0.62978723404255321</v>
      </c>
      <c r="I355" s="3">
        <v>250</v>
      </c>
      <c r="J355" s="3">
        <v>0</v>
      </c>
      <c r="K355" s="3">
        <v>0</v>
      </c>
      <c r="L355" s="3">
        <v>0</v>
      </c>
      <c r="M355" s="3">
        <v>28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120</v>
      </c>
      <c r="Z355" s="3">
        <v>0</v>
      </c>
      <c r="AA355" s="3">
        <v>0</v>
      </c>
      <c r="AB355" s="3">
        <v>0</v>
      </c>
      <c r="AC355" s="3">
        <f t="shared" si="24"/>
        <v>148</v>
      </c>
      <c r="AD355" s="3">
        <v>0</v>
      </c>
      <c r="AE355" s="16">
        <f t="shared" si="25"/>
        <v>0</v>
      </c>
    </row>
    <row r="356" spans="1:31" x14ac:dyDescent="0.5">
      <c r="A356" s="3">
        <v>84</v>
      </c>
      <c r="B356" s="3">
        <v>39</v>
      </c>
      <c r="C356" s="3">
        <v>459</v>
      </c>
      <c r="D356" s="3">
        <v>0</v>
      </c>
      <c r="E356" s="3">
        <v>94</v>
      </c>
      <c r="F356" s="3">
        <v>235</v>
      </c>
      <c r="G356" s="3">
        <v>299</v>
      </c>
      <c r="H356" s="16">
        <f t="shared" si="23"/>
        <v>0.65141612200435728</v>
      </c>
      <c r="I356" s="3">
        <v>500</v>
      </c>
      <c r="J356" s="3">
        <v>4</v>
      </c>
      <c r="K356" s="3">
        <v>0</v>
      </c>
      <c r="L356" s="3">
        <v>0</v>
      </c>
      <c r="M356" s="3">
        <v>38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1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248</v>
      </c>
      <c r="Z356" s="3">
        <v>1</v>
      </c>
      <c r="AA356" s="3">
        <v>0</v>
      </c>
      <c r="AB356" s="3">
        <v>0</v>
      </c>
      <c r="AC356" s="3">
        <f t="shared" si="24"/>
        <v>292</v>
      </c>
      <c r="AD356" s="3">
        <v>7</v>
      </c>
      <c r="AE356" s="16">
        <f t="shared" si="25"/>
        <v>2.3411371237458192E-2</v>
      </c>
    </row>
    <row r="357" spans="1:31" x14ac:dyDescent="0.5">
      <c r="A357" s="3">
        <v>84</v>
      </c>
      <c r="B357" s="3">
        <v>40</v>
      </c>
      <c r="C357" s="3">
        <v>502</v>
      </c>
      <c r="D357" s="3">
        <v>0</v>
      </c>
      <c r="E357" s="3">
        <v>114</v>
      </c>
      <c r="F357" s="3">
        <v>274</v>
      </c>
      <c r="G357" s="3">
        <v>302</v>
      </c>
      <c r="H357" s="16">
        <f t="shared" si="23"/>
        <v>0.60159362549800799</v>
      </c>
      <c r="I357" s="3">
        <v>500</v>
      </c>
      <c r="J357" s="3">
        <v>5</v>
      </c>
      <c r="K357" s="3">
        <v>0</v>
      </c>
      <c r="L357" s="3">
        <v>0</v>
      </c>
      <c r="M357" s="3">
        <v>25</v>
      </c>
      <c r="N357" s="3">
        <v>0</v>
      </c>
      <c r="O357" s="3">
        <v>0</v>
      </c>
      <c r="P357" s="3">
        <v>1</v>
      </c>
      <c r="Q357" s="3">
        <v>1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1</v>
      </c>
      <c r="Y357" s="3">
        <v>263</v>
      </c>
      <c r="Z357" s="3">
        <v>3</v>
      </c>
      <c r="AA357" s="3">
        <v>0</v>
      </c>
      <c r="AB357" s="3">
        <v>0</v>
      </c>
      <c r="AC357" s="3">
        <f t="shared" si="24"/>
        <v>299</v>
      </c>
      <c r="AD357" s="3">
        <v>3</v>
      </c>
      <c r="AE357" s="16">
        <f t="shared" si="25"/>
        <v>9.9337748344370865E-3</v>
      </c>
    </row>
    <row r="358" spans="1:31" x14ac:dyDescent="0.5">
      <c r="A358" s="3">
        <v>84</v>
      </c>
      <c r="B358" s="3">
        <v>41</v>
      </c>
      <c r="C358" s="3">
        <v>555</v>
      </c>
      <c r="D358" s="3">
        <v>0</v>
      </c>
      <c r="E358" s="3">
        <v>124</v>
      </c>
      <c r="F358" s="3">
        <v>290</v>
      </c>
      <c r="G358" s="3">
        <v>342</v>
      </c>
      <c r="H358" s="16">
        <f t="shared" si="23"/>
        <v>0.61621621621621625</v>
      </c>
      <c r="I358" s="3">
        <v>550</v>
      </c>
      <c r="J358" s="3">
        <v>6</v>
      </c>
      <c r="K358" s="3">
        <v>0</v>
      </c>
      <c r="L358" s="3">
        <v>0</v>
      </c>
      <c r="M358" s="3">
        <v>22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309</v>
      </c>
      <c r="Z358" s="3">
        <v>2</v>
      </c>
      <c r="AA358" s="3">
        <v>0</v>
      </c>
      <c r="AB358" s="3">
        <v>0</v>
      </c>
      <c r="AC358" s="3">
        <f t="shared" si="24"/>
        <v>339</v>
      </c>
      <c r="AD358" s="3">
        <v>3</v>
      </c>
      <c r="AE358" s="16">
        <f t="shared" si="25"/>
        <v>8.771929824561403E-3</v>
      </c>
    </row>
    <row r="359" spans="1:31" x14ac:dyDescent="0.5">
      <c r="A359" s="3">
        <v>84</v>
      </c>
      <c r="B359" s="3">
        <v>42</v>
      </c>
      <c r="C359" s="3">
        <v>609</v>
      </c>
      <c r="D359" s="3">
        <v>0</v>
      </c>
      <c r="E359" s="3">
        <v>105</v>
      </c>
      <c r="F359" s="3">
        <v>266</v>
      </c>
      <c r="G359" s="3">
        <v>304</v>
      </c>
      <c r="H359" s="16">
        <f t="shared" si="23"/>
        <v>0.49917898193760263</v>
      </c>
      <c r="I359" s="3">
        <v>600</v>
      </c>
      <c r="J359" s="3">
        <v>11</v>
      </c>
      <c r="K359" s="3">
        <v>0</v>
      </c>
      <c r="L359" s="3">
        <v>0</v>
      </c>
      <c r="M359" s="3">
        <v>62</v>
      </c>
      <c r="N359" s="3">
        <v>0</v>
      </c>
      <c r="O359" s="3">
        <v>0</v>
      </c>
      <c r="P359" s="3">
        <v>1</v>
      </c>
      <c r="Q359" s="3">
        <v>0</v>
      </c>
      <c r="R359" s="3">
        <v>0</v>
      </c>
      <c r="S359" s="3">
        <v>0</v>
      </c>
      <c r="T359" s="3">
        <v>0</v>
      </c>
      <c r="U359" s="3">
        <v>2</v>
      </c>
      <c r="V359" s="3">
        <v>0</v>
      </c>
      <c r="W359" s="3">
        <v>0</v>
      </c>
      <c r="X359" s="3">
        <v>2</v>
      </c>
      <c r="Y359" s="3">
        <v>221</v>
      </c>
      <c r="Z359" s="3">
        <v>0</v>
      </c>
      <c r="AA359" s="3">
        <v>0</v>
      </c>
      <c r="AB359" s="3">
        <v>0</v>
      </c>
      <c r="AC359" s="3">
        <f t="shared" si="24"/>
        <v>299</v>
      </c>
      <c r="AD359" s="3">
        <v>4</v>
      </c>
      <c r="AE359" s="16">
        <f t="shared" si="25"/>
        <v>1.3201320132013201E-2</v>
      </c>
    </row>
    <row r="360" spans="1:31" x14ac:dyDescent="0.5">
      <c r="A360" s="3">
        <v>84</v>
      </c>
      <c r="B360" s="3">
        <v>43</v>
      </c>
      <c r="C360" s="3">
        <v>171</v>
      </c>
      <c r="D360" s="3">
        <v>1</v>
      </c>
      <c r="E360" s="3">
        <v>36</v>
      </c>
      <c r="F360" s="3">
        <v>74</v>
      </c>
      <c r="G360" s="3">
        <v>79</v>
      </c>
      <c r="H360" s="16">
        <f t="shared" si="23"/>
        <v>0.46198830409356723</v>
      </c>
      <c r="I360" s="3">
        <v>200</v>
      </c>
      <c r="J360" s="3">
        <v>0</v>
      </c>
      <c r="K360" s="3">
        <v>0</v>
      </c>
      <c r="L360" s="3">
        <v>0</v>
      </c>
      <c r="M360" s="3">
        <v>10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69</v>
      </c>
      <c r="Z360" s="3">
        <v>0</v>
      </c>
      <c r="AA360" s="3">
        <v>0</v>
      </c>
      <c r="AB360" s="3">
        <v>0</v>
      </c>
      <c r="AC360" s="3">
        <f t="shared" si="24"/>
        <v>79</v>
      </c>
      <c r="AD360" s="3">
        <v>0</v>
      </c>
      <c r="AE360" s="16">
        <f t="shared" si="25"/>
        <v>0</v>
      </c>
    </row>
    <row r="361" spans="1:31" x14ac:dyDescent="0.5">
      <c r="A361" s="3">
        <v>84</v>
      </c>
      <c r="B361" s="3">
        <v>44</v>
      </c>
      <c r="C361" s="3">
        <v>206</v>
      </c>
      <c r="D361" s="3">
        <v>1</v>
      </c>
      <c r="E361" s="3">
        <v>25</v>
      </c>
      <c r="F361" s="3">
        <v>65</v>
      </c>
      <c r="G361" s="3">
        <v>86</v>
      </c>
      <c r="H361" s="16">
        <f t="shared" si="23"/>
        <v>0.41747572815533979</v>
      </c>
      <c r="I361" s="3">
        <v>200</v>
      </c>
      <c r="J361" s="3">
        <v>1</v>
      </c>
      <c r="K361" s="3">
        <v>0</v>
      </c>
      <c r="L361" s="3">
        <v>0</v>
      </c>
      <c r="M361" s="3">
        <v>17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68</v>
      </c>
      <c r="Z361" s="3">
        <v>0</v>
      </c>
      <c r="AA361" s="3">
        <v>0</v>
      </c>
      <c r="AB361" s="3">
        <v>0</v>
      </c>
      <c r="AC361" s="3">
        <f t="shared" si="24"/>
        <v>86</v>
      </c>
      <c r="AD361" s="3">
        <v>0</v>
      </c>
      <c r="AE361" s="16">
        <f t="shared" si="25"/>
        <v>0</v>
      </c>
    </row>
    <row r="362" spans="1:31" x14ac:dyDescent="0.5">
      <c r="A362" s="3">
        <v>84</v>
      </c>
      <c r="B362" s="3">
        <v>45</v>
      </c>
      <c r="C362" s="3">
        <v>290</v>
      </c>
      <c r="D362" s="3">
        <v>1</v>
      </c>
      <c r="E362" s="3">
        <v>68</v>
      </c>
      <c r="F362" s="3">
        <v>169</v>
      </c>
      <c r="G362" s="3">
        <v>198</v>
      </c>
      <c r="H362" s="16">
        <f t="shared" si="23"/>
        <v>0.6827586206896552</v>
      </c>
      <c r="I362" s="3">
        <v>300</v>
      </c>
      <c r="J362" s="3">
        <v>2</v>
      </c>
      <c r="K362" s="3">
        <v>0</v>
      </c>
      <c r="L362" s="3">
        <v>0</v>
      </c>
      <c r="M362" s="3">
        <v>86</v>
      </c>
      <c r="N362" s="3">
        <v>0</v>
      </c>
      <c r="O362" s="3">
        <v>0</v>
      </c>
      <c r="P362" s="3">
        <v>1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107</v>
      </c>
      <c r="Z362" s="3">
        <v>1</v>
      </c>
      <c r="AA362" s="3">
        <v>0</v>
      </c>
      <c r="AB362" s="3">
        <v>0</v>
      </c>
      <c r="AC362" s="3">
        <f t="shared" si="24"/>
        <v>197</v>
      </c>
      <c r="AD362" s="3">
        <v>1</v>
      </c>
      <c r="AE362" s="16">
        <f t="shared" si="25"/>
        <v>5.0505050505050509E-3</v>
      </c>
    </row>
    <row r="363" spans="1:31" x14ac:dyDescent="0.5">
      <c r="A363" s="3">
        <v>84</v>
      </c>
      <c r="B363" s="3">
        <v>46</v>
      </c>
      <c r="C363" s="3">
        <v>278</v>
      </c>
      <c r="D363" s="3">
        <v>2</v>
      </c>
      <c r="E363" s="3">
        <v>69</v>
      </c>
      <c r="F363" s="3">
        <v>144</v>
      </c>
      <c r="G363" s="3">
        <v>171</v>
      </c>
      <c r="H363" s="16">
        <f t="shared" si="23"/>
        <v>0.6151079136690647</v>
      </c>
      <c r="I363" s="3">
        <v>300</v>
      </c>
      <c r="J363" s="3">
        <v>8</v>
      </c>
      <c r="K363" s="3">
        <v>0</v>
      </c>
      <c r="L363" s="3">
        <v>2</v>
      </c>
      <c r="M363" s="3">
        <v>40</v>
      </c>
      <c r="N363" s="3">
        <v>0</v>
      </c>
      <c r="O363" s="3">
        <v>0</v>
      </c>
      <c r="P363" s="3">
        <v>0</v>
      </c>
      <c r="Q363" s="3">
        <v>1</v>
      </c>
      <c r="R363" s="3">
        <v>0</v>
      </c>
      <c r="S363" s="3">
        <v>1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111</v>
      </c>
      <c r="Z363" s="3">
        <v>1</v>
      </c>
      <c r="AA363" s="3">
        <v>0</v>
      </c>
      <c r="AB363" s="3">
        <v>0</v>
      </c>
      <c r="AC363" s="3">
        <f t="shared" si="24"/>
        <v>164</v>
      </c>
      <c r="AD363" s="3">
        <v>7</v>
      </c>
      <c r="AE363" s="16">
        <f t="shared" si="25"/>
        <v>4.0935672514619881E-2</v>
      </c>
    </row>
    <row r="364" spans="1:31" x14ac:dyDescent="0.5">
      <c r="A364" s="3">
        <v>84</v>
      </c>
      <c r="B364" s="3">
        <v>47</v>
      </c>
      <c r="C364" s="3">
        <v>137</v>
      </c>
      <c r="D364" s="3">
        <v>1</v>
      </c>
      <c r="E364" s="3">
        <v>27</v>
      </c>
      <c r="F364" s="3">
        <v>66</v>
      </c>
      <c r="G364" s="3">
        <v>88</v>
      </c>
      <c r="H364" s="16">
        <f t="shared" si="23"/>
        <v>0.64233576642335766</v>
      </c>
      <c r="I364" s="3">
        <v>150</v>
      </c>
      <c r="J364" s="3">
        <v>3</v>
      </c>
      <c r="K364" s="3">
        <v>0</v>
      </c>
      <c r="L364" s="3">
        <v>0</v>
      </c>
      <c r="M364" s="3">
        <v>19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63</v>
      </c>
      <c r="Z364" s="3">
        <v>1</v>
      </c>
      <c r="AA364" s="3">
        <v>0</v>
      </c>
      <c r="AB364" s="3">
        <v>0</v>
      </c>
      <c r="AC364" s="3">
        <f t="shared" si="24"/>
        <v>86</v>
      </c>
      <c r="AD364" s="3">
        <v>2</v>
      </c>
      <c r="AE364" s="16">
        <f t="shared" si="25"/>
        <v>2.2727272727272728E-2</v>
      </c>
    </row>
    <row r="365" spans="1:31" x14ac:dyDescent="0.5">
      <c r="A365" s="3">
        <v>84</v>
      </c>
      <c r="B365" s="3">
        <v>48</v>
      </c>
      <c r="C365" s="3">
        <v>146</v>
      </c>
      <c r="D365" s="3">
        <v>2</v>
      </c>
      <c r="E365" s="3">
        <v>36</v>
      </c>
      <c r="F365" s="3">
        <v>66</v>
      </c>
      <c r="G365" s="3">
        <v>76</v>
      </c>
      <c r="H365" s="16">
        <f t="shared" si="23"/>
        <v>0.52054794520547942</v>
      </c>
      <c r="I365" s="3">
        <v>150</v>
      </c>
      <c r="J365" s="3">
        <v>0</v>
      </c>
      <c r="K365" s="3">
        <v>0</v>
      </c>
      <c r="L365" s="3">
        <v>0</v>
      </c>
      <c r="M365" s="3">
        <v>19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57</v>
      </c>
      <c r="Z365" s="3">
        <v>0</v>
      </c>
      <c r="AA365" s="3">
        <v>0</v>
      </c>
      <c r="AB365" s="3">
        <v>0</v>
      </c>
      <c r="AC365" s="3">
        <f t="shared" si="24"/>
        <v>76</v>
      </c>
      <c r="AD365" s="3">
        <v>0</v>
      </c>
      <c r="AE365" s="16">
        <f t="shared" si="25"/>
        <v>0</v>
      </c>
    </row>
    <row r="366" spans="1:31" x14ac:dyDescent="0.5">
      <c r="A366" s="3">
        <v>84</v>
      </c>
      <c r="B366" s="3">
        <v>49</v>
      </c>
      <c r="C366" s="3">
        <v>393</v>
      </c>
      <c r="D366" s="3">
        <v>0</v>
      </c>
      <c r="E366" s="3">
        <v>94</v>
      </c>
      <c r="F366" s="3">
        <v>107</v>
      </c>
      <c r="G366" s="3">
        <v>260</v>
      </c>
      <c r="H366" s="16">
        <f t="shared" si="23"/>
        <v>0.66157760814249367</v>
      </c>
      <c r="I366" s="3">
        <v>400</v>
      </c>
      <c r="J366" s="3">
        <v>4</v>
      </c>
      <c r="K366" s="3">
        <v>0</v>
      </c>
      <c r="L366" s="3">
        <v>0</v>
      </c>
      <c r="M366" s="3">
        <v>30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225</v>
      </c>
      <c r="Z366" s="3">
        <v>0</v>
      </c>
      <c r="AA366" s="3">
        <v>0</v>
      </c>
      <c r="AB366" s="3">
        <v>0</v>
      </c>
      <c r="AC366" s="3">
        <f t="shared" si="24"/>
        <v>259</v>
      </c>
      <c r="AD366" s="3">
        <v>1</v>
      </c>
      <c r="AE366" s="16">
        <f t="shared" si="25"/>
        <v>3.8461538461538464E-3</v>
      </c>
    </row>
    <row r="367" spans="1:31" x14ac:dyDescent="0.5">
      <c r="A367" s="3">
        <v>84</v>
      </c>
      <c r="B367" s="3">
        <v>50</v>
      </c>
      <c r="C367" s="3">
        <v>351</v>
      </c>
      <c r="D367" s="3">
        <v>0</v>
      </c>
      <c r="E367" s="3">
        <v>120</v>
      </c>
      <c r="F367" s="3">
        <v>233</v>
      </c>
      <c r="G367" s="3">
        <v>258</v>
      </c>
      <c r="H367" s="16">
        <f t="shared" si="23"/>
        <v>0.7350427350427351</v>
      </c>
      <c r="I367" s="3">
        <v>350</v>
      </c>
      <c r="J367" s="3">
        <v>4</v>
      </c>
      <c r="K367" s="3">
        <v>0</v>
      </c>
      <c r="L367" s="3">
        <v>0</v>
      </c>
      <c r="M367" s="3">
        <v>4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248</v>
      </c>
      <c r="Z367" s="3">
        <v>0</v>
      </c>
      <c r="AA367" s="3">
        <v>0</v>
      </c>
      <c r="AB367" s="3">
        <v>0</v>
      </c>
      <c r="AC367" s="3">
        <f t="shared" si="24"/>
        <v>256</v>
      </c>
      <c r="AD367" s="3">
        <v>2</v>
      </c>
      <c r="AE367" s="16">
        <f t="shared" si="25"/>
        <v>7.7519379844961239E-3</v>
      </c>
    </row>
    <row r="368" spans="1:31" x14ac:dyDescent="0.5">
      <c r="A368" s="3">
        <v>84</v>
      </c>
      <c r="B368" s="3">
        <v>51</v>
      </c>
      <c r="C368" s="3">
        <v>290</v>
      </c>
      <c r="D368" s="3">
        <v>1</v>
      </c>
      <c r="E368" s="3">
        <v>32</v>
      </c>
      <c r="F368" s="3">
        <v>137</v>
      </c>
      <c r="G368" s="3">
        <v>165</v>
      </c>
      <c r="H368" s="16">
        <f t="shared" si="23"/>
        <v>0.56896551724137934</v>
      </c>
      <c r="I368" s="3">
        <v>300</v>
      </c>
      <c r="J368" s="3">
        <v>3</v>
      </c>
      <c r="K368" s="3">
        <v>0</v>
      </c>
      <c r="L368" s="3">
        <v>0</v>
      </c>
      <c r="M368" s="3">
        <v>56</v>
      </c>
      <c r="N368" s="3">
        <v>0</v>
      </c>
      <c r="O368" s="3">
        <v>0</v>
      </c>
      <c r="P368" s="3">
        <v>1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104</v>
      </c>
      <c r="Z368" s="3">
        <v>0</v>
      </c>
      <c r="AA368" s="3">
        <v>0</v>
      </c>
      <c r="AB368" s="3">
        <v>0</v>
      </c>
      <c r="AC368" s="3">
        <f t="shared" si="24"/>
        <v>164</v>
      </c>
      <c r="AD368" s="3">
        <v>1</v>
      </c>
      <c r="AE368" s="16">
        <f t="shared" si="25"/>
        <v>6.0606060606060606E-3</v>
      </c>
    </row>
    <row r="369" spans="1:31" x14ac:dyDescent="0.5">
      <c r="A369" s="3">
        <v>84</v>
      </c>
      <c r="B369" s="3">
        <v>52</v>
      </c>
      <c r="C369" s="3">
        <v>191</v>
      </c>
      <c r="D369" s="3">
        <v>0</v>
      </c>
      <c r="E369" s="3">
        <v>51</v>
      </c>
      <c r="F369" s="3">
        <v>87</v>
      </c>
      <c r="G369" s="3">
        <v>109</v>
      </c>
      <c r="H369" s="16">
        <f t="shared" si="23"/>
        <v>0.5706806282722513</v>
      </c>
      <c r="I369" s="3">
        <v>200</v>
      </c>
      <c r="J369" s="3">
        <v>5</v>
      </c>
      <c r="K369" s="3">
        <v>0</v>
      </c>
      <c r="L369" s="3">
        <v>0</v>
      </c>
      <c r="M369" s="3">
        <v>28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73</v>
      </c>
      <c r="Z369" s="3">
        <v>0</v>
      </c>
      <c r="AA369" s="3">
        <v>0</v>
      </c>
      <c r="AB369" s="3">
        <v>0</v>
      </c>
      <c r="AC369" s="3">
        <f t="shared" si="24"/>
        <v>106</v>
      </c>
      <c r="AD369" s="3">
        <v>3</v>
      </c>
      <c r="AE369" s="16">
        <f t="shared" si="25"/>
        <v>2.7522935779816515E-2</v>
      </c>
    </row>
    <row r="370" spans="1:31" x14ac:dyDescent="0.5">
      <c r="A370" s="3">
        <v>84</v>
      </c>
      <c r="B370" s="3">
        <v>53</v>
      </c>
      <c r="C370" s="3">
        <v>263</v>
      </c>
      <c r="D370" s="3">
        <v>1</v>
      </c>
      <c r="E370" s="3">
        <v>77</v>
      </c>
      <c r="F370" s="3">
        <v>154</v>
      </c>
      <c r="G370" s="3">
        <v>191</v>
      </c>
      <c r="H370" s="16">
        <f t="shared" si="23"/>
        <v>0.72623574144486691</v>
      </c>
      <c r="I370" s="3">
        <v>300</v>
      </c>
      <c r="J370" s="3">
        <v>8</v>
      </c>
      <c r="K370" s="3">
        <v>0</v>
      </c>
      <c r="L370" s="3">
        <v>0</v>
      </c>
      <c r="M370" s="3">
        <v>57</v>
      </c>
      <c r="N370" s="3">
        <v>0</v>
      </c>
      <c r="O370" s="3">
        <v>0</v>
      </c>
      <c r="P370" s="3">
        <v>1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123</v>
      </c>
      <c r="Z370" s="3">
        <v>1</v>
      </c>
      <c r="AA370" s="3">
        <v>0</v>
      </c>
      <c r="AB370" s="3">
        <v>0</v>
      </c>
      <c r="AC370" s="3">
        <f t="shared" si="24"/>
        <v>190</v>
      </c>
      <c r="AD370" s="3">
        <v>1</v>
      </c>
      <c r="AE370" s="16">
        <f t="shared" si="25"/>
        <v>5.235602094240838E-3</v>
      </c>
    </row>
    <row r="371" spans="1:31" x14ac:dyDescent="0.5">
      <c r="A371" s="3">
        <v>84</v>
      </c>
      <c r="B371" s="3">
        <v>54</v>
      </c>
      <c r="C371" s="3">
        <v>314</v>
      </c>
      <c r="D371" s="3">
        <v>0</v>
      </c>
      <c r="E371" s="3">
        <v>69</v>
      </c>
      <c r="F371" s="3">
        <v>140</v>
      </c>
      <c r="G371" s="3">
        <v>178</v>
      </c>
      <c r="H371" s="16">
        <f t="shared" si="23"/>
        <v>0.56687898089171973</v>
      </c>
      <c r="I371" s="3">
        <v>350</v>
      </c>
      <c r="J371" s="3">
        <v>5</v>
      </c>
      <c r="K371" s="3">
        <v>0</v>
      </c>
      <c r="L371" s="3">
        <v>0</v>
      </c>
      <c r="M371" s="3">
        <v>42</v>
      </c>
      <c r="N371" s="3">
        <v>0</v>
      </c>
      <c r="O371" s="3">
        <v>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121</v>
      </c>
      <c r="Z371" s="3">
        <v>8</v>
      </c>
      <c r="AA371" s="3">
        <v>0</v>
      </c>
      <c r="AB371" s="3">
        <v>0</v>
      </c>
      <c r="AC371" s="3">
        <f t="shared" si="24"/>
        <v>177</v>
      </c>
      <c r="AD371" s="3">
        <v>1</v>
      </c>
      <c r="AE371" s="16">
        <f t="shared" si="25"/>
        <v>5.6179775280898875E-3</v>
      </c>
    </row>
    <row r="372" spans="1:31" s="5" customFormat="1" x14ac:dyDescent="0.5">
      <c r="A372" s="8">
        <v>84</v>
      </c>
      <c r="B372" s="8" t="s">
        <v>0</v>
      </c>
      <c r="C372" s="8">
        <f>SUM(C318:C371)</f>
        <v>24123</v>
      </c>
      <c r="D372" s="8">
        <f>SUM(D318:D371)</f>
        <v>38</v>
      </c>
      <c r="E372" s="8">
        <f t="shared" ref="E372:AD372" si="26">SUM(E318:E371)</f>
        <v>4782</v>
      </c>
      <c r="F372" s="8">
        <f t="shared" si="26"/>
        <v>11823</v>
      </c>
      <c r="G372" s="8">
        <f t="shared" si="26"/>
        <v>14163</v>
      </c>
      <c r="H372" s="20">
        <f t="shared" si="23"/>
        <v>0.58711603034448456</v>
      </c>
      <c r="I372" s="8">
        <f t="shared" si="26"/>
        <v>24150</v>
      </c>
      <c r="J372" s="8">
        <f t="shared" si="26"/>
        <v>507</v>
      </c>
      <c r="K372" s="8">
        <f t="shared" si="26"/>
        <v>0</v>
      </c>
      <c r="L372" s="8">
        <f t="shared" si="26"/>
        <v>25</v>
      </c>
      <c r="M372" s="8">
        <f t="shared" si="26"/>
        <v>3318</v>
      </c>
      <c r="N372" s="8">
        <f t="shared" si="26"/>
        <v>0</v>
      </c>
      <c r="O372" s="8">
        <f t="shared" si="26"/>
        <v>5</v>
      </c>
      <c r="P372" s="8">
        <f t="shared" si="26"/>
        <v>25</v>
      </c>
      <c r="Q372" s="8">
        <f t="shared" si="26"/>
        <v>11</v>
      </c>
      <c r="R372" s="8">
        <f t="shared" si="26"/>
        <v>0</v>
      </c>
      <c r="S372" s="8">
        <f t="shared" si="26"/>
        <v>15</v>
      </c>
      <c r="T372" s="8">
        <f t="shared" si="26"/>
        <v>1</v>
      </c>
      <c r="U372" s="8">
        <f t="shared" si="26"/>
        <v>3</v>
      </c>
      <c r="V372" s="8">
        <f t="shared" si="26"/>
        <v>5</v>
      </c>
      <c r="W372" s="8">
        <f t="shared" si="26"/>
        <v>1</v>
      </c>
      <c r="X372" s="8">
        <f t="shared" si="26"/>
        <v>5</v>
      </c>
      <c r="Y372" s="8">
        <f t="shared" si="26"/>
        <v>9909</v>
      </c>
      <c r="Z372" s="8">
        <f t="shared" si="26"/>
        <v>144</v>
      </c>
      <c r="AA372" s="8">
        <f t="shared" si="26"/>
        <v>0</v>
      </c>
      <c r="AB372" s="8">
        <f t="shared" si="26"/>
        <v>0</v>
      </c>
      <c r="AC372" s="8">
        <f t="shared" si="26"/>
        <v>13974</v>
      </c>
      <c r="AD372" s="8">
        <f t="shared" si="26"/>
        <v>187</v>
      </c>
      <c r="AE372" s="20">
        <f t="shared" si="25"/>
        <v>1.3205282112845138E-2</v>
      </c>
    </row>
    <row r="373" spans="1:31" s="5" customFormat="1" x14ac:dyDescent="0.5">
      <c r="A373" s="8"/>
      <c r="B373" s="8"/>
      <c r="C373" s="8"/>
      <c r="D373" s="8"/>
      <c r="E373" s="8"/>
      <c r="F373" s="8"/>
      <c r="G373" s="8"/>
      <c r="H373" s="20"/>
      <c r="I373" s="8"/>
      <c r="J373" s="20">
        <f>J372/$AC$372</f>
        <v>3.6281665951051957E-2</v>
      </c>
      <c r="K373" s="20">
        <f t="shared" ref="K373:AB373" si="27">K372/$AC$372</f>
        <v>0</v>
      </c>
      <c r="L373" s="20">
        <f t="shared" si="27"/>
        <v>1.7890367825962501E-3</v>
      </c>
      <c r="M373" s="20">
        <f t="shared" si="27"/>
        <v>0.23744096178617433</v>
      </c>
      <c r="N373" s="20">
        <f t="shared" si="27"/>
        <v>0</v>
      </c>
      <c r="O373" s="20">
        <f t="shared" si="27"/>
        <v>3.5780735651925002E-4</v>
      </c>
      <c r="P373" s="20">
        <f t="shared" si="27"/>
        <v>1.7890367825962501E-3</v>
      </c>
      <c r="Q373" s="20">
        <f t="shared" si="27"/>
        <v>7.8717618434235009E-4</v>
      </c>
      <c r="R373" s="20">
        <f t="shared" si="27"/>
        <v>0</v>
      </c>
      <c r="S373" s="20">
        <f t="shared" si="27"/>
        <v>1.0734220695577501E-3</v>
      </c>
      <c r="T373" s="20">
        <f t="shared" si="27"/>
        <v>7.1561471303850007E-5</v>
      </c>
      <c r="U373" s="20">
        <f t="shared" si="27"/>
        <v>2.1468441391155003E-4</v>
      </c>
      <c r="V373" s="20">
        <f t="shared" si="27"/>
        <v>3.5780735651925002E-4</v>
      </c>
      <c r="W373" s="20">
        <f t="shared" si="27"/>
        <v>7.1561471303850007E-5</v>
      </c>
      <c r="X373" s="20">
        <f t="shared" si="27"/>
        <v>3.5780735651925002E-4</v>
      </c>
      <c r="Y373" s="20">
        <f t="shared" si="27"/>
        <v>0.70910261914984973</v>
      </c>
      <c r="Z373" s="20">
        <f t="shared" si="27"/>
        <v>1.0304851867754402E-2</v>
      </c>
      <c r="AA373" s="20">
        <f t="shared" si="27"/>
        <v>0</v>
      </c>
      <c r="AB373" s="20">
        <f t="shared" si="27"/>
        <v>0</v>
      </c>
      <c r="AC373" s="20"/>
      <c r="AD373" s="8"/>
      <c r="AE373" s="20"/>
    </row>
    <row r="375" spans="1:31" x14ac:dyDescent="0.5">
      <c r="A375" s="18" t="s">
        <v>11</v>
      </c>
      <c r="B375" s="18"/>
      <c r="C375" s="18">
        <f>C372+C316+C207+C147+C92</f>
        <v>342516</v>
      </c>
      <c r="D375" s="18">
        <f>D372+D316+D207+D147+D92</f>
        <v>1612</v>
      </c>
      <c r="E375" s="18">
        <f>E372+E316+E207+E147+E92</f>
        <v>59568</v>
      </c>
      <c r="F375" s="18">
        <f>F372+F316+F207+F147+F92</f>
        <v>121612</v>
      </c>
      <c r="G375" s="18">
        <f>G372+G316+G207+G147+G92</f>
        <v>152444</v>
      </c>
      <c r="H375" s="19">
        <f>G375/C375</f>
        <v>0.44507117915659417</v>
      </c>
      <c r="I375" s="18">
        <f t="shared" ref="I375:AD375" si="28">I372+I316+I207+I147+I92</f>
        <v>311050</v>
      </c>
      <c r="J375" s="18">
        <f t="shared" si="28"/>
        <v>672</v>
      </c>
      <c r="K375" s="18">
        <f t="shared" si="28"/>
        <v>2768</v>
      </c>
      <c r="L375" s="18">
        <f t="shared" si="28"/>
        <v>271</v>
      </c>
      <c r="M375" s="18">
        <f t="shared" si="28"/>
        <v>40222</v>
      </c>
      <c r="N375" s="18">
        <f t="shared" si="28"/>
        <v>1062</v>
      </c>
      <c r="O375" s="18">
        <f t="shared" si="28"/>
        <v>1872</v>
      </c>
      <c r="P375" s="18">
        <f t="shared" si="28"/>
        <v>77</v>
      </c>
      <c r="Q375" s="18">
        <f t="shared" si="28"/>
        <v>160</v>
      </c>
      <c r="R375" s="18">
        <f t="shared" si="28"/>
        <v>100</v>
      </c>
      <c r="S375" s="18">
        <f t="shared" si="28"/>
        <v>107</v>
      </c>
      <c r="T375" s="18">
        <f t="shared" si="28"/>
        <v>66</v>
      </c>
      <c r="U375" s="18">
        <f t="shared" si="28"/>
        <v>90</v>
      </c>
      <c r="V375" s="18">
        <f t="shared" si="28"/>
        <v>85</v>
      </c>
      <c r="W375" s="18">
        <f t="shared" si="28"/>
        <v>65</v>
      </c>
      <c r="X375" s="18">
        <f t="shared" si="28"/>
        <v>108</v>
      </c>
      <c r="Y375" s="18">
        <f t="shared" si="28"/>
        <v>93081</v>
      </c>
      <c r="Z375" s="18">
        <f t="shared" si="28"/>
        <v>5534</v>
      </c>
      <c r="AA375" s="18">
        <f t="shared" si="28"/>
        <v>3093</v>
      </c>
      <c r="AB375" s="18">
        <f t="shared" si="28"/>
        <v>136</v>
      </c>
      <c r="AC375" s="18">
        <f t="shared" si="28"/>
        <v>149569</v>
      </c>
      <c r="AD375" s="18">
        <f t="shared" si="28"/>
        <v>2743</v>
      </c>
      <c r="AE375" s="19">
        <f>AD375/(AC375+AD375)</f>
        <v>1.8009086611691792E-2</v>
      </c>
    </row>
  </sheetData>
  <autoFilter ref="A1:AE372" xr:uid="{00000000-0009-0000-0000-000001000000}">
    <filterColumn colId="0" showButton="0"/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5"/>
  <sheetViews>
    <sheetView showZeros="0" workbookViewId="0"/>
  </sheetViews>
  <sheetFormatPr defaultColWidth="9.07421875" defaultRowHeight="15.9" x14ac:dyDescent="0.5"/>
  <cols>
    <col min="1" max="1" width="4.3046875" style="10" customWidth="1"/>
    <col min="2" max="2" width="12.53515625" style="4" customWidth="1"/>
    <col min="3" max="3" width="6.53515625" style="4" bestFit="1" customWidth="1"/>
    <col min="4" max="4" width="13.3046875" style="4" customWidth="1"/>
    <col min="5" max="5" width="13.69140625" style="4" customWidth="1"/>
    <col min="6" max="6" width="11.07421875" style="4" customWidth="1"/>
    <col min="7" max="7" width="11.69140625" style="4" customWidth="1"/>
    <col min="8" max="8" width="10.07421875" style="4" bestFit="1" customWidth="1"/>
    <col min="9" max="9" width="8" style="4" bestFit="1" customWidth="1"/>
    <col min="10" max="10" width="11.84375" style="4" bestFit="1" customWidth="1"/>
    <col min="11" max="11" width="3.84375" style="4" bestFit="1" customWidth="1"/>
    <col min="12" max="12" width="5.07421875" style="4" bestFit="1" customWidth="1"/>
    <col min="13" max="13" width="3.84375" style="4" bestFit="1" customWidth="1"/>
    <col min="14" max="14" width="5.07421875" style="4" bestFit="1" customWidth="1"/>
    <col min="15" max="15" width="3.84375" style="4" bestFit="1" customWidth="1"/>
    <col min="16" max="17" width="3" style="4" bestFit="1" customWidth="1"/>
    <col min="18" max="19" width="3.84375" style="4" bestFit="1" customWidth="1"/>
    <col min="20" max="23" width="3" style="4" bestFit="1" customWidth="1"/>
    <col min="24" max="24" width="6.4609375" style="4" bestFit="1" customWidth="1"/>
    <col min="25" max="27" width="5.07421875" style="4" bestFit="1" customWidth="1"/>
    <col min="28" max="28" width="7.84375" style="4" customWidth="1"/>
    <col min="29" max="29" width="5.4609375" style="4" customWidth="1"/>
    <col min="30" max="30" width="6.84375" style="4" bestFit="1" customWidth="1"/>
    <col min="31" max="16384" width="9.07421875" style="4"/>
  </cols>
  <sheetData>
    <row r="1" spans="1:30" ht="44.6" x14ac:dyDescent="0.5">
      <c r="A1" s="27" t="s">
        <v>31</v>
      </c>
      <c r="B1" s="7" t="s">
        <v>32</v>
      </c>
      <c r="C1" s="7" t="s">
        <v>8</v>
      </c>
      <c r="D1" s="7" t="s">
        <v>9</v>
      </c>
      <c r="E1" s="7" t="s">
        <v>7</v>
      </c>
      <c r="F1" s="6" t="s">
        <v>5</v>
      </c>
      <c r="G1" s="6" t="s">
        <v>6</v>
      </c>
      <c r="H1" s="6" t="s">
        <v>4</v>
      </c>
      <c r="I1" s="6" t="s">
        <v>10</v>
      </c>
      <c r="J1" s="6" t="s">
        <v>3</v>
      </c>
      <c r="K1" s="26" t="s">
        <v>12</v>
      </c>
      <c r="L1" s="26" t="s">
        <v>13</v>
      </c>
      <c r="M1" s="26" t="s">
        <v>14</v>
      </c>
      <c r="N1" s="26" t="s">
        <v>15</v>
      </c>
      <c r="O1" s="26" t="s">
        <v>17</v>
      </c>
      <c r="P1" s="26" t="s">
        <v>18</v>
      </c>
      <c r="Q1" s="26" t="s">
        <v>19</v>
      </c>
      <c r="R1" s="26" t="s">
        <v>20</v>
      </c>
      <c r="S1" s="26" t="s">
        <v>21</v>
      </c>
      <c r="T1" s="26" t="s">
        <v>22</v>
      </c>
      <c r="U1" s="26" t="s">
        <v>24</v>
      </c>
      <c r="V1" s="26" t="s">
        <v>25</v>
      </c>
      <c r="W1" s="26" t="s">
        <v>26</v>
      </c>
      <c r="X1" s="26" t="s">
        <v>27</v>
      </c>
      <c r="Y1" s="26" t="s">
        <v>28</v>
      </c>
      <c r="Z1" s="26" t="s">
        <v>29</v>
      </c>
      <c r="AA1" s="26" t="s">
        <v>30</v>
      </c>
      <c r="AB1" s="1" t="s">
        <v>1</v>
      </c>
      <c r="AC1" s="1" t="s">
        <v>2</v>
      </c>
      <c r="AD1" s="1" t="s">
        <v>10</v>
      </c>
    </row>
    <row r="2" spans="1:30" x14ac:dyDescent="0.5">
      <c r="A2" s="9">
        <v>11</v>
      </c>
      <c r="B2" s="3">
        <v>3</v>
      </c>
      <c r="C2" s="3">
        <v>13</v>
      </c>
      <c r="D2" s="3">
        <v>456</v>
      </c>
      <c r="E2" s="3">
        <v>0</v>
      </c>
      <c r="F2" s="3">
        <v>163</v>
      </c>
      <c r="G2" s="3">
        <v>309</v>
      </c>
      <c r="H2" s="3">
        <v>340</v>
      </c>
      <c r="I2" s="16">
        <f t="shared" ref="I2:I35" si="0">H2/D2</f>
        <v>0.74561403508771928</v>
      </c>
      <c r="J2" s="3">
        <v>450</v>
      </c>
      <c r="K2" s="3">
        <v>0</v>
      </c>
      <c r="L2" s="3"/>
      <c r="M2" s="3">
        <v>0</v>
      </c>
      <c r="N2" s="3">
        <v>90</v>
      </c>
      <c r="O2" s="3">
        <v>0</v>
      </c>
      <c r="P2" s="3"/>
      <c r="Q2" s="3">
        <v>0</v>
      </c>
      <c r="R2" s="3">
        <v>1</v>
      </c>
      <c r="S2" s="3">
        <v>0</v>
      </c>
      <c r="T2" s="3">
        <v>0</v>
      </c>
      <c r="U2" s="3">
        <v>1</v>
      </c>
      <c r="V2" s="3">
        <v>1</v>
      </c>
      <c r="W2" s="3">
        <v>0</v>
      </c>
      <c r="X2" s="3">
        <v>244</v>
      </c>
      <c r="Y2" s="3"/>
      <c r="Z2" s="3"/>
      <c r="AA2" s="3"/>
      <c r="AB2" s="3">
        <f>SUM(K2:AA2)</f>
        <v>337</v>
      </c>
      <c r="AC2" s="3">
        <v>3</v>
      </c>
      <c r="AD2" s="16">
        <f t="shared" ref="AD2:AD35" si="1">AC2/(AB2+AC2)</f>
        <v>8.8235294117647058E-3</v>
      </c>
    </row>
    <row r="3" spans="1:30" s="5" customFormat="1" x14ac:dyDescent="0.5">
      <c r="A3" s="11">
        <v>11</v>
      </c>
      <c r="B3" s="8">
        <v>3</v>
      </c>
      <c r="C3" s="12" t="s">
        <v>0</v>
      </c>
      <c r="D3" s="8">
        <f>SUM(D2)</f>
        <v>456</v>
      </c>
      <c r="E3" s="8">
        <f>SUM(E2)</f>
        <v>0</v>
      </c>
      <c r="F3" s="8">
        <f>SUM(F2)</f>
        <v>163</v>
      </c>
      <c r="G3" s="8">
        <f>SUM(G2)</f>
        <v>309</v>
      </c>
      <c r="H3" s="8">
        <f>SUM(H2)</f>
        <v>340</v>
      </c>
      <c r="I3" s="21">
        <f t="shared" si="0"/>
        <v>0.74561403508771928</v>
      </c>
      <c r="J3" s="8">
        <f t="shared" ref="J3:AC3" si="2">SUM(J2)</f>
        <v>450</v>
      </c>
      <c r="K3" s="8">
        <f t="shared" si="2"/>
        <v>0</v>
      </c>
      <c r="L3" s="8">
        <f t="shared" si="2"/>
        <v>0</v>
      </c>
      <c r="M3" s="8">
        <f t="shared" si="2"/>
        <v>0</v>
      </c>
      <c r="N3" s="8">
        <f t="shared" si="2"/>
        <v>90</v>
      </c>
      <c r="O3" s="8">
        <f t="shared" si="2"/>
        <v>0</v>
      </c>
      <c r="P3" s="8">
        <f t="shared" si="2"/>
        <v>0</v>
      </c>
      <c r="Q3" s="8">
        <f t="shared" si="2"/>
        <v>0</v>
      </c>
      <c r="R3" s="8">
        <f t="shared" si="2"/>
        <v>1</v>
      </c>
      <c r="S3" s="8">
        <f t="shared" si="2"/>
        <v>0</v>
      </c>
      <c r="T3" s="8">
        <f t="shared" si="2"/>
        <v>0</v>
      </c>
      <c r="U3" s="8">
        <f t="shared" si="2"/>
        <v>1</v>
      </c>
      <c r="V3" s="8">
        <f t="shared" si="2"/>
        <v>1</v>
      </c>
      <c r="W3" s="8">
        <f t="shared" si="2"/>
        <v>0</v>
      </c>
      <c r="X3" s="8">
        <f t="shared" si="2"/>
        <v>244</v>
      </c>
      <c r="Y3" s="8">
        <f t="shared" si="2"/>
        <v>0</v>
      </c>
      <c r="Z3" s="8">
        <f t="shared" si="2"/>
        <v>0</v>
      </c>
      <c r="AA3" s="8">
        <f t="shared" si="2"/>
        <v>0</v>
      </c>
      <c r="AB3" s="8">
        <f t="shared" si="2"/>
        <v>337</v>
      </c>
      <c r="AC3" s="8">
        <f t="shared" si="2"/>
        <v>3</v>
      </c>
      <c r="AD3" s="21">
        <f t="shared" si="1"/>
        <v>8.8235294117647058E-3</v>
      </c>
    </row>
    <row r="4" spans="1:30" x14ac:dyDescent="0.5">
      <c r="A4" s="9">
        <v>18</v>
      </c>
      <c r="B4" s="3">
        <v>4</v>
      </c>
      <c r="C4" s="3">
        <v>8</v>
      </c>
      <c r="D4" s="3">
        <v>413</v>
      </c>
      <c r="E4" s="3">
        <v>1</v>
      </c>
      <c r="F4" s="3">
        <v>123</v>
      </c>
      <c r="G4" s="3">
        <v>209</v>
      </c>
      <c r="H4" s="3">
        <v>233</v>
      </c>
      <c r="I4" s="16">
        <f t="shared" si="0"/>
        <v>0.56416464891041163</v>
      </c>
      <c r="J4" s="3">
        <v>350</v>
      </c>
      <c r="K4" s="3">
        <v>0</v>
      </c>
      <c r="L4" s="3"/>
      <c r="M4" s="3">
        <v>0</v>
      </c>
      <c r="N4" s="3"/>
      <c r="O4" s="3">
        <v>2</v>
      </c>
      <c r="P4" s="3">
        <v>3</v>
      </c>
      <c r="Q4" s="3">
        <v>1</v>
      </c>
      <c r="R4" s="3">
        <v>0</v>
      </c>
      <c r="S4" s="3"/>
      <c r="T4" s="3">
        <v>0</v>
      </c>
      <c r="U4" s="3">
        <v>0</v>
      </c>
      <c r="V4" s="3">
        <v>3</v>
      </c>
      <c r="W4" s="3">
        <v>0</v>
      </c>
      <c r="X4" s="3">
        <v>221</v>
      </c>
      <c r="Y4" s="3"/>
      <c r="Z4" s="3"/>
      <c r="AA4" s="3"/>
      <c r="AB4" s="3">
        <f>SUM(K4:AA4)</f>
        <v>230</v>
      </c>
      <c r="AC4" s="3">
        <v>1</v>
      </c>
      <c r="AD4" s="16">
        <f t="shared" si="1"/>
        <v>4.329004329004329E-3</v>
      </c>
    </row>
    <row r="5" spans="1:30" x14ac:dyDescent="0.5">
      <c r="A5" s="9">
        <v>18</v>
      </c>
      <c r="B5" s="3">
        <v>4</v>
      </c>
      <c r="C5" s="3">
        <v>24</v>
      </c>
      <c r="D5" s="3">
        <v>807</v>
      </c>
      <c r="E5" s="3">
        <v>1</v>
      </c>
      <c r="F5" s="3">
        <v>109</v>
      </c>
      <c r="G5" s="3">
        <v>332</v>
      </c>
      <c r="H5" s="3">
        <v>384</v>
      </c>
      <c r="I5" s="16">
        <f t="shared" si="0"/>
        <v>0.47583643122676578</v>
      </c>
      <c r="J5" s="3">
        <v>600</v>
      </c>
      <c r="K5" s="3">
        <v>0</v>
      </c>
      <c r="L5" s="3"/>
      <c r="M5" s="3">
        <v>2</v>
      </c>
      <c r="N5" s="3"/>
      <c r="O5" s="3">
        <v>2</v>
      </c>
      <c r="P5" s="3">
        <v>3</v>
      </c>
      <c r="Q5" s="3">
        <v>1</v>
      </c>
      <c r="R5" s="3">
        <v>0</v>
      </c>
      <c r="S5" s="3"/>
      <c r="T5" s="3">
        <v>0</v>
      </c>
      <c r="U5" s="3">
        <v>0</v>
      </c>
      <c r="V5" s="3">
        <v>2</v>
      </c>
      <c r="W5" s="3">
        <v>2</v>
      </c>
      <c r="X5" s="3">
        <v>356</v>
      </c>
      <c r="Y5" s="3"/>
      <c r="Z5" s="3"/>
      <c r="AA5" s="3"/>
      <c r="AB5" s="3">
        <f>SUM(K5:AA5)</f>
        <v>368</v>
      </c>
      <c r="AC5" s="3">
        <v>16</v>
      </c>
      <c r="AD5" s="16">
        <f t="shared" si="1"/>
        <v>4.1666666666666664E-2</v>
      </c>
    </row>
    <row r="6" spans="1:30" s="5" customFormat="1" x14ac:dyDescent="0.5">
      <c r="A6" s="11">
        <v>18</v>
      </c>
      <c r="B6" s="8">
        <v>4</v>
      </c>
      <c r="C6" s="12" t="s">
        <v>0</v>
      </c>
      <c r="D6" s="8">
        <f>SUM(D4:D5)</f>
        <v>1220</v>
      </c>
      <c r="E6" s="8">
        <f>SUM(E4:E5)</f>
        <v>2</v>
      </c>
      <c r="F6" s="8">
        <f>SUM(F4:F5)</f>
        <v>232</v>
      </c>
      <c r="G6" s="8">
        <f>SUM(G4:G5)</f>
        <v>541</v>
      </c>
      <c r="H6" s="8">
        <f>SUM(H4:H5)</f>
        <v>617</v>
      </c>
      <c r="I6" s="21">
        <f t="shared" si="0"/>
        <v>0.50573770491803283</v>
      </c>
      <c r="J6" s="8">
        <f t="shared" ref="J6:AC6" si="3">SUM(J4:J5)</f>
        <v>950</v>
      </c>
      <c r="K6" s="8">
        <f t="shared" si="3"/>
        <v>0</v>
      </c>
      <c r="L6" s="8">
        <f t="shared" si="3"/>
        <v>0</v>
      </c>
      <c r="M6" s="8">
        <f t="shared" si="3"/>
        <v>2</v>
      </c>
      <c r="N6" s="8">
        <f t="shared" si="3"/>
        <v>0</v>
      </c>
      <c r="O6" s="8">
        <f t="shared" si="3"/>
        <v>4</v>
      </c>
      <c r="P6" s="8">
        <f t="shared" si="3"/>
        <v>6</v>
      </c>
      <c r="Q6" s="8">
        <f t="shared" si="3"/>
        <v>2</v>
      </c>
      <c r="R6" s="8">
        <f t="shared" si="3"/>
        <v>0</v>
      </c>
      <c r="S6" s="8">
        <f t="shared" si="3"/>
        <v>0</v>
      </c>
      <c r="T6" s="8">
        <f t="shared" si="3"/>
        <v>0</v>
      </c>
      <c r="U6" s="8">
        <f t="shared" si="3"/>
        <v>0</v>
      </c>
      <c r="V6" s="8">
        <f t="shared" si="3"/>
        <v>5</v>
      </c>
      <c r="W6" s="8">
        <f t="shared" si="3"/>
        <v>2</v>
      </c>
      <c r="X6" s="8">
        <f t="shared" si="3"/>
        <v>577</v>
      </c>
      <c r="Y6" s="8">
        <f t="shared" si="3"/>
        <v>0</v>
      </c>
      <c r="Z6" s="8">
        <f t="shared" si="3"/>
        <v>0</v>
      </c>
      <c r="AA6" s="8">
        <f t="shared" si="3"/>
        <v>0</v>
      </c>
      <c r="AB6" s="8">
        <f t="shared" si="3"/>
        <v>598</v>
      </c>
      <c r="AC6" s="8">
        <f t="shared" si="3"/>
        <v>17</v>
      </c>
      <c r="AD6" s="21">
        <f t="shared" si="1"/>
        <v>2.7642276422764227E-2</v>
      </c>
    </row>
    <row r="7" spans="1:30" x14ac:dyDescent="0.5">
      <c r="A7" s="9">
        <v>38</v>
      </c>
      <c r="B7" s="3">
        <v>2</v>
      </c>
      <c r="C7" s="3">
        <v>2</v>
      </c>
      <c r="D7" s="3">
        <v>1124</v>
      </c>
      <c r="E7" s="3">
        <v>0</v>
      </c>
      <c r="F7" s="3">
        <v>260</v>
      </c>
      <c r="G7" s="3">
        <v>547</v>
      </c>
      <c r="H7" s="3">
        <v>634</v>
      </c>
      <c r="I7" s="16">
        <f t="shared" si="0"/>
        <v>0.56405693950177938</v>
      </c>
      <c r="J7" s="3">
        <v>1000</v>
      </c>
      <c r="K7" s="3">
        <v>10</v>
      </c>
      <c r="L7" s="3"/>
      <c r="M7" s="3">
        <v>5</v>
      </c>
      <c r="N7" s="3"/>
      <c r="O7" s="3"/>
      <c r="P7" s="3"/>
      <c r="Q7" s="3">
        <v>4</v>
      </c>
      <c r="R7" s="3">
        <v>3</v>
      </c>
      <c r="S7" s="3"/>
      <c r="T7" s="3">
        <v>2</v>
      </c>
      <c r="U7" s="3">
        <v>4</v>
      </c>
      <c r="V7" s="3">
        <v>6</v>
      </c>
      <c r="W7" s="3">
        <v>4</v>
      </c>
      <c r="X7" s="3">
        <v>584</v>
      </c>
      <c r="Y7" s="3"/>
      <c r="Z7" s="3"/>
      <c r="AA7" s="3"/>
      <c r="AB7" s="3">
        <f>SUM(K7:AA7)</f>
        <v>622</v>
      </c>
      <c r="AC7" s="3">
        <v>12</v>
      </c>
      <c r="AD7" s="16">
        <f t="shared" si="1"/>
        <v>1.8927444794952682E-2</v>
      </c>
    </row>
    <row r="8" spans="1:30" s="5" customFormat="1" x14ac:dyDescent="0.5">
      <c r="A8" s="11">
        <v>38</v>
      </c>
      <c r="B8" s="8">
        <v>2</v>
      </c>
      <c r="C8" s="12" t="s">
        <v>0</v>
      </c>
      <c r="D8" s="8">
        <f>SUM(D7)</f>
        <v>1124</v>
      </c>
      <c r="E8" s="8">
        <f>SUM(E7)</f>
        <v>0</v>
      </c>
      <c r="F8" s="8">
        <f>SUM(F7)</f>
        <v>260</v>
      </c>
      <c r="G8" s="8">
        <f>SUM(G7)</f>
        <v>547</v>
      </c>
      <c r="H8" s="8">
        <f>SUM(H7)</f>
        <v>634</v>
      </c>
      <c r="I8" s="21">
        <f t="shared" si="0"/>
        <v>0.56405693950177938</v>
      </c>
      <c r="J8" s="8">
        <f t="shared" ref="J8:AC8" si="4">SUM(J7)</f>
        <v>1000</v>
      </c>
      <c r="K8" s="8">
        <f t="shared" si="4"/>
        <v>10</v>
      </c>
      <c r="L8" s="8">
        <f t="shared" si="4"/>
        <v>0</v>
      </c>
      <c r="M8" s="8">
        <f t="shared" si="4"/>
        <v>5</v>
      </c>
      <c r="N8" s="8">
        <f t="shared" si="4"/>
        <v>0</v>
      </c>
      <c r="O8" s="8">
        <f t="shared" si="4"/>
        <v>0</v>
      </c>
      <c r="P8" s="8">
        <f t="shared" si="4"/>
        <v>0</v>
      </c>
      <c r="Q8" s="8">
        <f t="shared" si="4"/>
        <v>4</v>
      </c>
      <c r="R8" s="8">
        <f t="shared" si="4"/>
        <v>3</v>
      </c>
      <c r="S8" s="8">
        <f t="shared" si="4"/>
        <v>0</v>
      </c>
      <c r="T8" s="8">
        <f t="shared" si="4"/>
        <v>2</v>
      </c>
      <c r="U8" s="8">
        <f t="shared" si="4"/>
        <v>4</v>
      </c>
      <c r="V8" s="8">
        <f t="shared" si="4"/>
        <v>6</v>
      </c>
      <c r="W8" s="8">
        <f t="shared" si="4"/>
        <v>4</v>
      </c>
      <c r="X8" s="8">
        <f t="shared" si="4"/>
        <v>584</v>
      </c>
      <c r="Y8" s="8">
        <f t="shared" si="4"/>
        <v>0</v>
      </c>
      <c r="Z8" s="8">
        <f t="shared" si="4"/>
        <v>0</v>
      </c>
      <c r="AA8" s="8">
        <f t="shared" si="4"/>
        <v>0</v>
      </c>
      <c r="AB8" s="8">
        <f t="shared" si="4"/>
        <v>622</v>
      </c>
      <c r="AC8" s="8">
        <f t="shared" si="4"/>
        <v>12</v>
      </c>
      <c r="AD8" s="21">
        <f t="shared" si="1"/>
        <v>1.8927444794952682E-2</v>
      </c>
    </row>
    <row r="9" spans="1:30" x14ac:dyDescent="0.5">
      <c r="A9" s="9">
        <v>51</v>
      </c>
      <c r="B9" s="3">
        <v>13</v>
      </c>
      <c r="C9" s="3">
        <v>30</v>
      </c>
      <c r="D9" s="3">
        <v>964</v>
      </c>
      <c r="E9" s="3">
        <v>4</v>
      </c>
      <c r="F9" s="3">
        <v>200</v>
      </c>
      <c r="G9" s="3">
        <v>490</v>
      </c>
      <c r="H9" s="3">
        <v>566</v>
      </c>
      <c r="I9" s="16">
        <f t="shared" si="0"/>
        <v>0.58713692946058094</v>
      </c>
      <c r="J9" s="3">
        <v>900</v>
      </c>
      <c r="K9" s="3">
        <v>1</v>
      </c>
      <c r="L9" s="3"/>
      <c r="M9" s="3">
        <v>0</v>
      </c>
      <c r="N9" s="3">
        <v>154</v>
      </c>
      <c r="O9" s="3"/>
      <c r="P9" s="3"/>
      <c r="Q9" s="3"/>
      <c r="R9" s="3">
        <v>0</v>
      </c>
      <c r="S9" s="3">
        <v>1</v>
      </c>
      <c r="T9" s="3">
        <v>1</v>
      </c>
      <c r="U9" s="3">
        <v>0</v>
      </c>
      <c r="V9" s="3"/>
      <c r="W9" s="3"/>
      <c r="X9" s="3">
        <v>400</v>
      </c>
      <c r="Y9" s="3"/>
      <c r="Z9" s="3"/>
      <c r="AA9" s="3"/>
      <c r="AB9" s="3">
        <f>SUM(K9:AA9)</f>
        <v>557</v>
      </c>
      <c r="AC9" s="3">
        <v>3</v>
      </c>
      <c r="AD9" s="16">
        <f t="shared" si="1"/>
        <v>5.3571428571428572E-3</v>
      </c>
    </row>
    <row r="10" spans="1:30" x14ac:dyDescent="0.5">
      <c r="A10" s="9">
        <v>51</v>
      </c>
      <c r="B10" s="3">
        <v>13</v>
      </c>
      <c r="C10" s="3">
        <v>31</v>
      </c>
      <c r="D10" s="3">
        <v>576</v>
      </c>
      <c r="E10" s="3">
        <v>3</v>
      </c>
      <c r="F10" s="3">
        <v>95</v>
      </c>
      <c r="G10" s="3">
        <v>296</v>
      </c>
      <c r="H10" s="3">
        <v>348</v>
      </c>
      <c r="I10" s="16">
        <f t="shared" si="0"/>
        <v>0.60416666666666663</v>
      </c>
      <c r="J10" s="3">
        <v>500</v>
      </c>
      <c r="K10" s="3">
        <v>0</v>
      </c>
      <c r="L10" s="3"/>
      <c r="M10" s="3">
        <v>0</v>
      </c>
      <c r="N10" s="3">
        <v>114</v>
      </c>
      <c r="O10" s="3"/>
      <c r="P10" s="3"/>
      <c r="Q10" s="3"/>
      <c r="R10" s="3">
        <v>0</v>
      </c>
      <c r="S10" s="3">
        <v>0</v>
      </c>
      <c r="T10" s="3">
        <v>0</v>
      </c>
      <c r="U10" s="3">
        <v>1</v>
      </c>
      <c r="V10" s="3"/>
      <c r="W10" s="3"/>
      <c r="X10" s="3">
        <v>226</v>
      </c>
      <c r="Y10" s="3"/>
      <c r="Z10" s="3"/>
      <c r="AA10" s="3"/>
      <c r="AB10" s="3">
        <f>SUM(K10:AA10)</f>
        <v>341</v>
      </c>
      <c r="AC10" s="3">
        <v>5</v>
      </c>
      <c r="AD10" s="16">
        <f t="shared" si="1"/>
        <v>1.4450867052023121E-2</v>
      </c>
    </row>
    <row r="11" spans="1:30" s="5" customFormat="1" x14ac:dyDescent="0.5">
      <c r="A11" s="11">
        <v>51</v>
      </c>
      <c r="B11" s="8">
        <v>13</v>
      </c>
      <c r="C11" s="12" t="s">
        <v>0</v>
      </c>
      <c r="D11" s="8">
        <f>SUM(D9:D10)</f>
        <v>1540</v>
      </c>
      <c r="E11" s="8">
        <f>SUM(E9:E10)</f>
        <v>7</v>
      </c>
      <c r="F11" s="8">
        <f>SUM(F9:F10)</f>
        <v>295</v>
      </c>
      <c r="G11" s="8">
        <f>SUM(G9:G10)</f>
        <v>786</v>
      </c>
      <c r="H11" s="8">
        <f>SUM(H9:H10)</f>
        <v>914</v>
      </c>
      <c r="I11" s="21">
        <f t="shared" si="0"/>
        <v>0.59350649350649354</v>
      </c>
      <c r="J11" s="8">
        <f t="shared" ref="J11:AC11" si="5">SUM(J9:J10)</f>
        <v>1400</v>
      </c>
      <c r="K11" s="8">
        <f t="shared" si="5"/>
        <v>1</v>
      </c>
      <c r="L11" s="8">
        <f t="shared" si="5"/>
        <v>0</v>
      </c>
      <c r="M11" s="8">
        <f t="shared" si="5"/>
        <v>0</v>
      </c>
      <c r="N11" s="8">
        <f t="shared" si="5"/>
        <v>268</v>
      </c>
      <c r="O11" s="8">
        <f t="shared" si="5"/>
        <v>0</v>
      </c>
      <c r="P11" s="8">
        <f t="shared" si="5"/>
        <v>0</v>
      </c>
      <c r="Q11" s="8">
        <f t="shared" si="5"/>
        <v>0</v>
      </c>
      <c r="R11" s="8">
        <f t="shared" si="5"/>
        <v>0</v>
      </c>
      <c r="S11" s="8">
        <f t="shared" si="5"/>
        <v>1</v>
      </c>
      <c r="T11" s="8">
        <f t="shared" si="5"/>
        <v>1</v>
      </c>
      <c r="U11" s="8">
        <f t="shared" si="5"/>
        <v>1</v>
      </c>
      <c r="V11" s="8">
        <f t="shared" si="5"/>
        <v>0</v>
      </c>
      <c r="W11" s="8">
        <f t="shared" si="5"/>
        <v>0</v>
      </c>
      <c r="X11" s="8">
        <f t="shared" si="5"/>
        <v>626</v>
      </c>
      <c r="Y11" s="8">
        <f t="shared" si="5"/>
        <v>0</v>
      </c>
      <c r="Z11" s="8">
        <f t="shared" si="5"/>
        <v>0</v>
      </c>
      <c r="AA11" s="8">
        <f t="shared" si="5"/>
        <v>0</v>
      </c>
      <c r="AB11" s="8">
        <f t="shared" si="5"/>
        <v>898</v>
      </c>
      <c r="AC11" s="8">
        <f t="shared" si="5"/>
        <v>8</v>
      </c>
      <c r="AD11" s="21">
        <f t="shared" si="1"/>
        <v>8.8300220750551876E-3</v>
      </c>
    </row>
    <row r="12" spans="1:30" x14ac:dyDescent="0.5">
      <c r="A12" s="9">
        <v>56</v>
      </c>
      <c r="B12" s="13" t="s">
        <v>13</v>
      </c>
      <c r="C12" s="3">
        <v>3</v>
      </c>
      <c r="D12" s="3">
        <v>966</v>
      </c>
      <c r="E12" s="3">
        <v>5</v>
      </c>
      <c r="F12" s="3">
        <v>149</v>
      </c>
      <c r="G12" s="3">
        <v>304</v>
      </c>
      <c r="H12" s="3">
        <v>395</v>
      </c>
      <c r="I12" s="16">
        <f t="shared" si="0"/>
        <v>0.40890269151138714</v>
      </c>
      <c r="J12" s="3">
        <v>900</v>
      </c>
      <c r="K12" s="3"/>
      <c r="L12" s="3"/>
      <c r="M12" s="3">
        <v>2</v>
      </c>
      <c r="N12" s="3">
        <v>69</v>
      </c>
      <c r="O12" s="3"/>
      <c r="P12" s="3"/>
      <c r="Q12" s="3"/>
      <c r="R12" s="3">
        <v>2</v>
      </c>
      <c r="S12" s="3"/>
      <c r="T12" s="3">
        <v>1</v>
      </c>
      <c r="U12" s="3">
        <v>2</v>
      </c>
      <c r="V12" s="3"/>
      <c r="W12" s="3"/>
      <c r="X12" s="3">
        <v>201</v>
      </c>
      <c r="Y12" s="3"/>
      <c r="Z12" s="3"/>
      <c r="AA12" s="3">
        <v>100</v>
      </c>
      <c r="AB12" s="3">
        <f t="shared" ref="AB12:AB18" si="6">SUM(K12:AA12)</f>
        <v>377</v>
      </c>
      <c r="AC12" s="3">
        <v>16</v>
      </c>
      <c r="AD12" s="16">
        <f t="shared" si="1"/>
        <v>4.0712468193384227E-2</v>
      </c>
    </row>
    <row r="13" spans="1:30" x14ac:dyDescent="0.5">
      <c r="A13" s="9">
        <v>56</v>
      </c>
      <c r="B13" s="13" t="s">
        <v>13</v>
      </c>
      <c r="C13" s="3">
        <v>4</v>
      </c>
      <c r="D13" s="3">
        <v>931</v>
      </c>
      <c r="E13" s="3">
        <v>7</v>
      </c>
      <c r="F13" s="3">
        <v>149</v>
      </c>
      <c r="G13" s="3">
        <v>313</v>
      </c>
      <c r="H13" s="3">
        <v>380</v>
      </c>
      <c r="I13" s="16">
        <f t="shared" si="0"/>
        <v>0.40816326530612246</v>
      </c>
      <c r="J13" s="3">
        <v>850</v>
      </c>
      <c r="K13" s="3"/>
      <c r="L13" s="3"/>
      <c r="M13" s="3">
        <v>1</v>
      </c>
      <c r="N13" s="3">
        <v>101</v>
      </c>
      <c r="O13" s="3"/>
      <c r="P13" s="3"/>
      <c r="Q13" s="3"/>
      <c r="R13" s="3">
        <v>2</v>
      </c>
      <c r="S13" s="3"/>
      <c r="T13" s="3">
        <v>0</v>
      </c>
      <c r="U13" s="3">
        <v>1</v>
      </c>
      <c r="V13" s="3"/>
      <c r="W13" s="3"/>
      <c r="X13" s="3">
        <v>157</v>
      </c>
      <c r="Y13" s="3"/>
      <c r="Z13" s="3"/>
      <c r="AA13" s="3">
        <v>92</v>
      </c>
      <c r="AB13" s="3">
        <f t="shared" si="6"/>
        <v>354</v>
      </c>
      <c r="AC13" s="3">
        <v>21</v>
      </c>
      <c r="AD13" s="16">
        <f t="shared" si="1"/>
        <v>5.6000000000000001E-2</v>
      </c>
    </row>
    <row r="14" spans="1:30" x14ac:dyDescent="0.5">
      <c r="A14" s="9">
        <v>56</v>
      </c>
      <c r="B14" s="13" t="s">
        <v>13</v>
      </c>
      <c r="C14" s="3">
        <v>5</v>
      </c>
      <c r="D14" s="3">
        <v>781</v>
      </c>
      <c r="E14" s="3">
        <v>0</v>
      </c>
      <c r="F14" s="3">
        <v>120</v>
      </c>
      <c r="G14" s="3">
        <v>250</v>
      </c>
      <c r="H14" s="3">
        <v>314</v>
      </c>
      <c r="I14" s="16">
        <f t="shared" si="0"/>
        <v>0.40204865556978231</v>
      </c>
      <c r="J14" s="3">
        <v>750</v>
      </c>
      <c r="K14" s="3"/>
      <c r="L14" s="3"/>
      <c r="M14" s="3">
        <v>1</v>
      </c>
      <c r="N14" s="3">
        <v>114</v>
      </c>
      <c r="O14" s="3"/>
      <c r="P14" s="3"/>
      <c r="Q14" s="3"/>
      <c r="R14" s="3">
        <v>2</v>
      </c>
      <c r="S14" s="3"/>
      <c r="T14" s="3">
        <v>0</v>
      </c>
      <c r="U14" s="3">
        <v>2</v>
      </c>
      <c r="V14" s="3"/>
      <c r="W14" s="3"/>
      <c r="X14" s="3">
        <v>111</v>
      </c>
      <c r="Y14" s="3"/>
      <c r="Z14" s="3"/>
      <c r="AA14" s="3">
        <v>68</v>
      </c>
      <c r="AB14" s="3">
        <f t="shared" si="6"/>
        <v>298</v>
      </c>
      <c r="AC14" s="3">
        <v>16</v>
      </c>
      <c r="AD14" s="16">
        <f t="shared" si="1"/>
        <v>5.0955414012738856E-2</v>
      </c>
    </row>
    <row r="15" spans="1:30" x14ac:dyDescent="0.5">
      <c r="A15" s="9">
        <v>56</v>
      </c>
      <c r="B15" s="13" t="s">
        <v>13</v>
      </c>
      <c r="C15" s="3">
        <v>10</v>
      </c>
      <c r="D15" s="3">
        <v>882</v>
      </c>
      <c r="E15" s="3">
        <v>2</v>
      </c>
      <c r="F15" s="3">
        <v>158</v>
      </c>
      <c r="G15" s="3">
        <v>277</v>
      </c>
      <c r="H15" s="3">
        <v>319</v>
      </c>
      <c r="I15" s="16">
        <f t="shared" si="0"/>
        <v>0.36167800453514737</v>
      </c>
      <c r="J15" s="3">
        <v>800</v>
      </c>
      <c r="K15" s="3"/>
      <c r="L15" s="3"/>
      <c r="M15" s="3">
        <v>5</v>
      </c>
      <c r="N15" s="3">
        <v>84</v>
      </c>
      <c r="O15" s="3"/>
      <c r="P15" s="3"/>
      <c r="Q15" s="3"/>
      <c r="R15" s="3">
        <v>4</v>
      </c>
      <c r="S15" s="3"/>
      <c r="T15" s="3">
        <v>6</v>
      </c>
      <c r="U15" s="3">
        <v>0</v>
      </c>
      <c r="V15" s="3"/>
      <c r="W15" s="3"/>
      <c r="X15" s="3">
        <v>138</v>
      </c>
      <c r="Y15" s="3"/>
      <c r="Z15" s="3"/>
      <c r="AA15" s="3">
        <v>57</v>
      </c>
      <c r="AB15" s="3">
        <f t="shared" si="6"/>
        <v>294</v>
      </c>
      <c r="AC15" s="3">
        <v>25</v>
      </c>
      <c r="AD15" s="16">
        <f t="shared" si="1"/>
        <v>7.8369905956112859E-2</v>
      </c>
    </row>
    <row r="16" spans="1:30" x14ac:dyDescent="0.5">
      <c r="A16" s="9">
        <v>56</v>
      </c>
      <c r="B16" s="13" t="s">
        <v>13</v>
      </c>
      <c r="C16" s="3">
        <v>11</v>
      </c>
      <c r="D16" s="3">
        <v>235</v>
      </c>
      <c r="E16" s="3">
        <v>5</v>
      </c>
      <c r="F16" s="3">
        <v>32</v>
      </c>
      <c r="G16" s="3">
        <v>68</v>
      </c>
      <c r="H16" s="3">
        <v>77</v>
      </c>
      <c r="I16" s="16">
        <f t="shared" si="0"/>
        <v>0.32765957446808508</v>
      </c>
      <c r="J16" s="3">
        <v>250</v>
      </c>
      <c r="K16" s="3"/>
      <c r="L16" s="3"/>
      <c r="M16" s="3">
        <v>1</v>
      </c>
      <c r="N16" s="3">
        <v>17</v>
      </c>
      <c r="O16" s="3"/>
      <c r="P16" s="3"/>
      <c r="Q16" s="3"/>
      <c r="R16" s="3">
        <v>0</v>
      </c>
      <c r="S16" s="3"/>
      <c r="T16" s="3">
        <v>2</v>
      </c>
      <c r="U16" s="3">
        <v>0</v>
      </c>
      <c r="V16" s="3"/>
      <c r="W16" s="3"/>
      <c r="X16" s="3">
        <v>28</v>
      </c>
      <c r="Y16" s="3"/>
      <c r="Z16" s="3"/>
      <c r="AA16" s="3">
        <v>22</v>
      </c>
      <c r="AB16" s="3">
        <f t="shared" si="6"/>
        <v>70</v>
      </c>
      <c r="AC16" s="3">
        <v>7</v>
      </c>
      <c r="AD16" s="16">
        <f t="shared" si="1"/>
        <v>9.0909090909090912E-2</v>
      </c>
    </row>
    <row r="17" spans="1:30" x14ac:dyDescent="0.5">
      <c r="A17" s="9">
        <v>56</v>
      </c>
      <c r="B17" s="13" t="s">
        <v>13</v>
      </c>
      <c r="C17" s="3">
        <v>12</v>
      </c>
      <c r="D17" s="3">
        <v>226</v>
      </c>
      <c r="E17" s="3">
        <v>9</v>
      </c>
      <c r="F17" s="3">
        <v>60</v>
      </c>
      <c r="G17" s="3">
        <v>93</v>
      </c>
      <c r="H17" s="3">
        <v>105</v>
      </c>
      <c r="I17" s="16">
        <f t="shared" si="0"/>
        <v>0.46460176991150443</v>
      </c>
      <c r="J17" s="3">
        <v>250</v>
      </c>
      <c r="K17" s="3"/>
      <c r="L17" s="3"/>
      <c r="M17" s="3">
        <v>0</v>
      </c>
      <c r="N17" s="3">
        <v>21</v>
      </c>
      <c r="O17" s="3"/>
      <c r="P17" s="3"/>
      <c r="Q17" s="3"/>
      <c r="R17" s="3">
        <v>0</v>
      </c>
      <c r="S17" s="3"/>
      <c r="T17" s="3">
        <v>0</v>
      </c>
      <c r="U17" s="3">
        <v>2</v>
      </c>
      <c r="V17" s="3"/>
      <c r="W17" s="3"/>
      <c r="X17" s="3">
        <v>49</v>
      </c>
      <c r="Y17" s="3"/>
      <c r="Z17" s="3"/>
      <c r="AA17" s="3">
        <v>23</v>
      </c>
      <c r="AB17" s="3">
        <f t="shared" si="6"/>
        <v>95</v>
      </c>
      <c r="AC17" s="3">
        <v>2</v>
      </c>
      <c r="AD17" s="16">
        <f t="shared" si="1"/>
        <v>2.0618556701030927E-2</v>
      </c>
    </row>
    <row r="18" spans="1:30" x14ac:dyDescent="0.5">
      <c r="A18" s="9">
        <v>56</v>
      </c>
      <c r="B18" s="13" t="s">
        <v>13</v>
      </c>
      <c r="C18" s="3">
        <v>13</v>
      </c>
      <c r="D18" s="3">
        <v>185</v>
      </c>
      <c r="E18" s="3">
        <v>4</v>
      </c>
      <c r="F18" s="3">
        <v>41</v>
      </c>
      <c r="G18" s="3">
        <v>70</v>
      </c>
      <c r="H18" s="3">
        <v>75</v>
      </c>
      <c r="I18" s="16">
        <f t="shared" si="0"/>
        <v>0.40540540540540543</v>
      </c>
      <c r="J18" s="3">
        <v>200</v>
      </c>
      <c r="K18" s="3"/>
      <c r="L18" s="3"/>
      <c r="M18" s="3">
        <v>0</v>
      </c>
      <c r="N18" s="3">
        <v>15</v>
      </c>
      <c r="O18" s="3"/>
      <c r="P18" s="3"/>
      <c r="Q18" s="3"/>
      <c r="R18" s="3">
        <v>0</v>
      </c>
      <c r="S18" s="3"/>
      <c r="T18" s="3">
        <v>0</v>
      </c>
      <c r="U18" s="3">
        <v>0</v>
      </c>
      <c r="V18" s="3"/>
      <c r="W18" s="3"/>
      <c r="X18" s="3">
        <v>46</v>
      </c>
      <c r="Y18" s="3"/>
      <c r="Z18" s="3"/>
      <c r="AA18" s="3">
        <v>10</v>
      </c>
      <c r="AB18" s="3">
        <f t="shared" si="6"/>
        <v>71</v>
      </c>
      <c r="AC18" s="3">
        <v>1</v>
      </c>
      <c r="AD18" s="16">
        <f t="shared" si="1"/>
        <v>1.3888888888888888E-2</v>
      </c>
    </row>
    <row r="19" spans="1:30" s="5" customFormat="1" x14ac:dyDescent="0.5">
      <c r="A19" s="11">
        <v>56</v>
      </c>
      <c r="B19" s="14" t="s">
        <v>13</v>
      </c>
      <c r="C19" s="12" t="s">
        <v>0</v>
      </c>
      <c r="D19" s="8">
        <f>SUM(D12:D18)</f>
        <v>4206</v>
      </c>
      <c r="E19" s="8">
        <f>SUM(E12:E18)</f>
        <v>32</v>
      </c>
      <c r="F19" s="8">
        <f>SUM(F12:F18)</f>
        <v>709</v>
      </c>
      <c r="G19" s="8">
        <f>SUM(G12:G18)</f>
        <v>1375</v>
      </c>
      <c r="H19" s="8">
        <f>SUM(H12:H18)</f>
        <v>1665</v>
      </c>
      <c r="I19" s="21">
        <f t="shared" si="0"/>
        <v>0.39586305278174039</v>
      </c>
      <c r="J19" s="8">
        <f t="shared" ref="J19:AC19" si="7">SUM(J12:J18)</f>
        <v>4000</v>
      </c>
      <c r="K19" s="8">
        <f t="shared" si="7"/>
        <v>0</v>
      </c>
      <c r="L19" s="8">
        <f t="shared" si="7"/>
        <v>0</v>
      </c>
      <c r="M19" s="8">
        <f t="shared" si="7"/>
        <v>10</v>
      </c>
      <c r="N19" s="8">
        <f t="shared" si="7"/>
        <v>421</v>
      </c>
      <c r="O19" s="8">
        <f t="shared" si="7"/>
        <v>0</v>
      </c>
      <c r="P19" s="8">
        <f t="shared" si="7"/>
        <v>0</v>
      </c>
      <c r="Q19" s="8">
        <f t="shared" si="7"/>
        <v>0</v>
      </c>
      <c r="R19" s="8">
        <f t="shared" si="7"/>
        <v>10</v>
      </c>
      <c r="S19" s="8">
        <f t="shared" si="7"/>
        <v>0</v>
      </c>
      <c r="T19" s="8">
        <f t="shared" si="7"/>
        <v>9</v>
      </c>
      <c r="U19" s="8">
        <f t="shared" si="7"/>
        <v>7</v>
      </c>
      <c r="V19" s="8">
        <f t="shared" si="7"/>
        <v>0</v>
      </c>
      <c r="W19" s="8">
        <f t="shared" si="7"/>
        <v>0</v>
      </c>
      <c r="X19" s="8">
        <f t="shared" si="7"/>
        <v>730</v>
      </c>
      <c r="Y19" s="8">
        <f t="shared" si="7"/>
        <v>0</v>
      </c>
      <c r="Z19" s="8">
        <f t="shared" si="7"/>
        <v>0</v>
      </c>
      <c r="AA19" s="8">
        <f t="shared" si="7"/>
        <v>372</v>
      </c>
      <c r="AB19" s="8">
        <f t="shared" si="7"/>
        <v>1559</v>
      </c>
      <c r="AC19" s="8">
        <f t="shared" si="7"/>
        <v>88</v>
      </c>
      <c r="AD19" s="21">
        <f t="shared" si="1"/>
        <v>5.3430479659987859E-2</v>
      </c>
    </row>
    <row r="20" spans="1:30" x14ac:dyDescent="0.5">
      <c r="A20" s="9">
        <v>57</v>
      </c>
      <c r="B20" s="13" t="s">
        <v>33</v>
      </c>
      <c r="C20" s="3">
        <v>7</v>
      </c>
      <c r="D20" s="3">
        <v>1022</v>
      </c>
      <c r="E20" s="3">
        <v>4</v>
      </c>
      <c r="F20" s="3">
        <v>189</v>
      </c>
      <c r="G20" s="3">
        <v>324</v>
      </c>
      <c r="H20" s="3">
        <v>385</v>
      </c>
      <c r="I20" s="16">
        <f t="shared" si="0"/>
        <v>0.37671232876712329</v>
      </c>
      <c r="J20" s="3">
        <v>950</v>
      </c>
      <c r="K20" s="3">
        <v>0</v>
      </c>
      <c r="L20" s="3"/>
      <c r="M20" s="3">
        <v>1</v>
      </c>
      <c r="N20" s="3">
        <v>81</v>
      </c>
      <c r="O20" s="3">
        <v>0</v>
      </c>
      <c r="P20" s="3"/>
      <c r="Q20" s="3">
        <v>0</v>
      </c>
      <c r="R20" s="3">
        <v>0</v>
      </c>
      <c r="S20" s="3">
        <v>5</v>
      </c>
      <c r="T20" s="3">
        <v>2</v>
      </c>
      <c r="U20" s="3">
        <v>0</v>
      </c>
      <c r="V20" s="3">
        <v>0</v>
      </c>
      <c r="W20" s="3">
        <v>0</v>
      </c>
      <c r="X20" s="3">
        <v>276</v>
      </c>
      <c r="Y20" s="3"/>
      <c r="Z20" s="3">
        <v>15</v>
      </c>
      <c r="AA20" s="3"/>
      <c r="AB20" s="3">
        <f>SUM(K20:AA20)</f>
        <v>380</v>
      </c>
      <c r="AC20" s="3">
        <v>5</v>
      </c>
      <c r="AD20" s="16">
        <f t="shared" si="1"/>
        <v>1.2987012987012988E-2</v>
      </c>
    </row>
    <row r="21" spans="1:30" x14ac:dyDescent="0.5">
      <c r="A21" s="9">
        <v>57</v>
      </c>
      <c r="B21" s="13" t="s">
        <v>33</v>
      </c>
      <c r="C21" s="3">
        <v>8</v>
      </c>
      <c r="D21" s="3">
        <v>1119</v>
      </c>
      <c r="E21" s="3">
        <v>2</v>
      </c>
      <c r="F21" s="3">
        <v>192</v>
      </c>
      <c r="G21" s="3">
        <v>351</v>
      </c>
      <c r="H21" s="3">
        <v>415</v>
      </c>
      <c r="I21" s="16">
        <f t="shared" si="0"/>
        <v>0.3708668453976765</v>
      </c>
      <c r="J21" s="3">
        <v>1050</v>
      </c>
      <c r="K21" s="3">
        <v>3</v>
      </c>
      <c r="L21" s="3"/>
      <c r="M21" s="3">
        <v>0</v>
      </c>
      <c r="N21" s="3">
        <v>162</v>
      </c>
      <c r="O21" s="3">
        <v>0</v>
      </c>
      <c r="P21" s="3"/>
      <c r="Q21" s="3">
        <v>0</v>
      </c>
      <c r="R21" s="3">
        <v>0</v>
      </c>
      <c r="S21" s="3">
        <v>8</v>
      </c>
      <c r="T21" s="3">
        <v>0</v>
      </c>
      <c r="U21" s="3">
        <v>0</v>
      </c>
      <c r="V21" s="3">
        <v>0</v>
      </c>
      <c r="W21" s="3">
        <v>1</v>
      </c>
      <c r="X21" s="3">
        <v>224</v>
      </c>
      <c r="Y21" s="3"/>
      <c r="Z21" s="3">
        <v>14</v>
      </c>
      <c r="AA21" s="3"/>
      <c r="AB21" s="3">
        <f>SUM(K21:AA21)</f>
        <v>412</v>
      </c>
      <c r="AC21" s="3">
        <v>3</v>
      </c>
      <c r="AD21" s="16">
        <f t="shared" si="1"/>
        <v>7.2289156626506026E-3</v>
      </c>
    </row>
    <row r="22" spans="1:30" x14ac:dyDescent="0.5">
      <c r="A22" s="9">
        <v>57</v>
      </c>
      <c r="B22" s="13" t="s">
        <v>33</v>
      </c>
      <c r="C22" s="3">
        <v>34</v>
      </c>
      <c r="D22" s="3">
        <v>449</v>
      </c>
      <c r="E22" s="3">
        <v>2</v>
      </c>
      <c r="F22" s="3">
        <v>94</v>
      </c>
      <c r="G22" s="3">
        <v>186</v>
      </c>
      <c r="H22" s="3">
        <v>222</v>
      </c>
      <c r="I22" s="16">
        <f t="shared" si="0"/>
        <v>0.49443207126948774</v>
      </c>
      <c r="J22" s="3">
        <v>450</v>
      </c>
      <c r="K22" s="3">
        <v>0</v>
      </c>
      <c r="L22" s="3"/>
      <c r="M22" s="3">
        <v>2</v>
      </c>
      <c r="N22" s="3">
        <v>63</v>
      </c>
      <c r="O22" s="3">
        <v>0</v>
      </c>
      <c r="P22" s="3"/>
      <c r="Q22" s="3">
        <v>0</v>
      </c>
      <c r="R22" s="3">
        <v>0</v>
      </c>
      <c r="S22" s="3">
        <v>6</v>
      </c>
      <c r="T22" s="3">
        <v>0</v>
      </c>
      <c r="U22" s="3">
        <v>1</v>
      </c>
      <c r="V22" s="3">
        <v>0</v>
      </c>
      <c r="W22" s="3">
        <v>1</v>
      </c>
      <c r="X22" s="3">
        <v>140</v>
      </c>
      <c r="Y22" s="3"/>
      <c r="Z22" s="3">
        <v>3</v>
      </c>
      <c r="AA22" s="3"/>
      <c r="AB22" s="3">
        <f>SUM(K22:AA22)</f>
        <v>216</v>
      </c>
      <c r="AC22" s="3">
        <v>6</v>
      </c>
      <c r="AD22" s="16">
        <f t="shared" si="1"/>
        <v>2.7027027027027029E-2</v>
      </c>
    </row>
    <row r="23" spans="1:30" x14ac:dyDescent="0.5">
      <c r="A23" s="9">
        <v>57</v>
      </c>
      <c r="B23" s="13" t="s">
        <v>33</v>
      </c>
      <c r="C23" s="3">
        <v>36</v>
      </c>
      <c r="D23" s="3">
        <v>973</v>
      </c>
      <c r="E23" s="3">
        <v>0</v>
      </c>
      <c r="F23" s="3">
        <v>177</v>
      </c>
      <c r="G23" s="3">
        <v>352</v>
      </c>
      <c r="H23" s="3">
        <v>399</v>
      </c>
      <c r="I23" s="16">
        <f t="shared" si="0"/>
        <v>0.41007194244604317</v>
      </c>
      <c r="J23" s="3">
        <v>950</v>
      </c>
      <c r="K23" s="3">
        <v>1</v>
      </c>
      <c r="L23" s="3"/>
      <c r="M23" s="3">
        <v>3</v>
      </c>
      <c r="N23" s="3">
        <v>95</v>
      </c>
      <c r="O23" s="3">
        <v>0</v>
      </c>
      <c r="P23" s="3"/>
      <c r="Q23" s="3">
        <v>1</v>
      </c>
      <c r="R23" s="3">
        <v>1</v>
      </c>
      <c r="S23" s="3">
        <v>28</v>
      </c>
      <c r="T23" s="3">
        <v>0</v>
      </c>
      <c r="U23" s="3">
        <v>0</v>
      </c>
      <c r="V23" s="3">
        <v>1</v>
      </c>
      <c r="W23" s="3">
        <v>1</v>
      </c>
      <c r="X23" s="3">
        <v>244</v>
      </c>
      <c r="Y23" s="3"/>
      <c r="Z23" s="3">
        <v>15</v>
      </c>
      <c r="AA23" s="3"/>
      <c r="AB23" s="3">
        <f>SUM(K23:AA23)</f>
        <v>390</v>
      </c>
      <c r="AC23" s="3">
        <v>9</v>
      </c>
      <c r="AD23" s="16">
        <f t="shared" si="1"/>
        <v>2.2556390977443608E-2</v>
      </c>
    </row>
    <row r="24" spans="1:30" s="5" customFormat="1" x14ac:dyDescent="0.5">
      <c r="A24" s="11">
        <v>57</v>
      </c>
      <c r="B24" s="14" t="s">
        <v>33</v>
      </c>
      <c r="C24" s="12" t="s">
        <v>0</v>
      </c>
      <c r="D24" s="8">
        <f>SUM(D20:D23)</f>
        <v>3563</v>
      </c>
      <c r="E24" s="8">
        <f>SUM(E20:E23)</f>
        <v>8</v>
      </c>
      <c r="F24" s="8">
        <f>SUM(F20:F23)</f>
        <v>652</v>
      </c>
      <c r="G24" s="8">
        <f>SUM(G20:G23)</f>
        <v>1213</v>
      </c>
      <c r="H24" s="8">
        <f>SUM(H20:H23)</f>
        <v>1421</v>
      </c>
      <c r="I24" s="21">
        <f t="shared" si="0"/>
        <v>0.3988212180746562</v>
      </c>
      <c r="J24" s="8">
        <f t="shared" ref="J24:AC24" si="8">SUM(J20:J23)</f>
        <v>3400</v>
      </c>
      <c r="K24" s="8">
        <f t="shared" si="8"/>
        <v>4</v>
      </c>
      <c r="L24" s="8">
        <f t="shared" si="8"/>
        <v>0</v>
      </c>
      <c r="M24" s="8">
        <f t="shared" si="8"/>
        <v>6</v>
      </c>
      <c r="N24" s="8">
        <f t="shared" si="8"/>
        <v>401</v>
      </c>
      <c r="O24" s="8">
        <f t="shared" si="8"/>
        <v>0</v>
      </c>
      <c r="P24" s="8">
        <f t="shared" si="8"/>
        <v>0</v>
      </c>
      <c r="Q24" s="8">
        <f t="shared" si="8"/>
        <v>1</v>
      </c>
      <c r="R24" s="8">
        <f t="shared" si="8"/>
        <v>1</v>
      </c>
      <c r="S24" s="8">
        <f t="shared" si="8"/>
        <v>47</v>
      </c>
      <c r="T24" s="8">
        <f t="shared" si="8"/>
        <v>2</v>
      </c>
      <c r="U24" s="8">
        <f t="shared" si="8"/>
        <v>1</v>
      </c>
      <c r="V24" s="8">
        <f t="shared" si="8"/>
        <v>1</v>
      </c>
      <c r="W24" s="8">
        <f t="shared" si="8"/>
        <v>3</v>
      </c>
      <c r="X24" s="8">
        <f t="shared" si="8"/>
        <v>884</v>
      </c>
      <c r="Y24" s="8">
        <f t="shared" si="8"/>
        <v>0</v>
      </c>
      <c r="Z24" s="8">
        <f t="shared" si="8"/>
        <v>47</v>
      </c>
      <c r="AA24" s="8">
        <f t="shared" si="8"/>
        <v>0</v>
      </c>
      <c r="AB24" s="8">
        <f t="shared" si="8"/>
        <v>1398</v>
      </c>
      <c r="AC24" s="8">
        <f t="shared" si="8"/>
        <v>23</v>
      </c>
      <c r="AD24" s="21">
        <f t="shared" si="1"/>
        <v>1.6185784658691062E-2</v>
      </c>
    </row>
    <row r="25" spans="1:30" x14ac:dyDescent="0.5">
      <c r="A25" s="9">
        <v>58</v>
      </c>
      <c r="B25" s="3">
        <v>4</v>
      </c>
      <c r="C25" s="3">
        <v>14</v>
      </c>
      <c r="D25" s="3">
        <v>1273</v>
      </c>
      <c r="E25" s="3">
        <v>0</v>
      </c>
      <c r="F25" s="3">
        <v>279</v>
      </c>
      <c r="G25" s="3">
        <v>491</v>
      </c>
      <c r="H25" s="3">
        <v>656</v>
      </c>
      <c r="I25" s="16">
        <f t="shared" si="0"/>
        <v>0.51531814611154747</v>
      </c>
      <c r="J25" s="3">
        <v>1150</v>
      </c>
      <c r="K25" s="3">
        <v>2</v>
      </c>
      <c r="L25" s="3">
        <v>114</v>
      </c>
      <c r="M25" s="3">
        <v>2</v>
      </c>
      <c r="N25" s="3"/>
      <c r="O25" s="3">
        <v>0</v>
      </c>
      <c r="P25" s="3"/>
      <c r="Q25" s="3">
        <v>3</v>
      </c>
      <c r="R25" s="3">
        <v>3</v>
      </c>
      <c r="S25" s="3">
        <v>1</v>
      </c>
      <c r="T25" s="3">
        <v>3</v>
      </c>
      <c r="U25" s="3">
        <v>1</v>
      </c>
      <c r="V25" s="3">
        <v>1</v>
      </c>
      <c r="W25" s="3">
        <v>1</v>
      </c>
      <c r="X25" s="3">
        <v>511</v>
      </c>
      <c r="Y25" s="3"/>
      <c r="Z25" s="3"/>
      <c r="AA25" s="3"/>
      <c r="AB25" s="3">
        <f>SUM(K25:AA25)</f>
        <v>642</v>
      </c>
      <c r="AC25" s="3">
        <v>14</v>
      </c>
      <c r="AD25" s="16">
        <f t="shared" si="1"/>
        <v>2.1341463414634148E-2</v>
      </c>
    </row>
    <row r="26" spans="1:30" x14ac:dyDescent="0.5">
      <c r="A26" s="9">
        <v>58</v>
      </c>
      <c r="B26" s="3">
        <v>4</v>
      </c>
      <c r="C26" s="3">
        <v>15</v>
      </c>
      <c r="D26" s="3">
        <v>1388</v>
      </c>
      <c r="E26" s="3">
        <v>0</v>
      </c>
      <c r="F26" s="3">
        <v>297</v>
      </c>
      <c r="G26" s="3">
        <v>545</v>
      </c>
      <c r="H26" s="3">
        <v>675</v>
      </c>
      <c r="I26" s="16">
        <f t="shared" si="0"/>
        <v>0.48631123919308356</v>
      </c>
      <c r="J26" s="3">
        <v>1250</v>
      </c>
      <c r="K26" s="3">
        <v>0</v>
      </c>
      <c r="L26" s="3">
        <v>120</v>
      </c>
      <c r="M26" s="3">
        <v>0</v>
      </c>
      <c r="N26" s="3"/>
      <c r="O26" s="3">
        <v>2</v>
      </c>
      <c r="P26" s="3"/>
      <c r="Q26" s="3">
        <v>2</v>
      </c>
      <c r="R26" s="3">
        <v>0</v>
      </c>
      <c r="S26" s="3">
        <v>2</v>
      </c>
      <c r="T26" s="3">
        <v>0</v>
      </c>
      <c r="U26" s="3">
        <v>1</v>
      </c>
      <c r="V26" s="3">
        <v>0</v>
      </c>
      <c r="W26" s="3">
        <v>1</v>
      </c>
      <c r="X26" s="3">
        <v>536</v>
      </c>
      <c r="Y26" s="3"/>
      <c r="Z26" s="3"/>
      <c r="AA26" s="3"/>
      <c r="AB26" s="3">
        <f>SUM(K26:AA26)</f>
        <v>664</v>
      </c>
      <c r="AC26" s="3">
        <v>11</v>
      </c>
      <c r="AD26" s="16">
        <f t="shared" si="1"/>
        <v>1.6296296296296295E-2</v>
      </c>
    </row>
    <row r="27" spans="1:30" x14ac:dyDescent="0.5">
      <c r="A27" s="9">
        <v>58</v>
      </c>
      <c r="B27" s="3">
        <v>4</v>
      </c>
      <c r="C27" s="3">
        <v>16</v>
      </c>
      <c r="D27" s="3">
        <v>666</v>
      </c>
      <c r="E27" s="3">
        <v>1</v>
      </c>
      <c r="F27" s="3">
        <v>186</v>
      </c>
      <c r="G27" s="3">
        <v>324</v>
      </c>
      <c r="H27" s="3">
        <v>393</v>
      </c>
      <c r="I27" s="16">
        <f t="shared" si="0"/>
        <v>0.59009009009009006</v>
      </c>
      <c r="J27" s="3">
        <v>650</v>
      </c>
      <c r="K27" s="3">
        <v>1</v>
      </c>
      <c r="L27" s="3">
        <v>58</v>
      </c>
      <c r="M27" s="3">
        <v>3</v>
      </c>
      <c r="N27" s="3"/>
      <c r="O27" s="3">
        <v>0</v>
      </c>
      <c r="P27" s="3"/>
      <c r="Q27" s="3">
        <v>2</v>
      </c>
      <c r="R27" s="3">
        <v>0</v>
      </c>
      <c r="S27" s="3">
        <v>1</v>
      </c>
      <c r="T27" s="3">
        <v>0</v>
      </c>
      <c r="U27" s="3">
        <v>0</v>
      </c>
      <c r="V27" s="3">
        <v>0</v>
      </c>
      <c r="W27" s="3">
        <v>2</v>
      </c>
      <c r="X27" s="3">
        <v>313</v>
      </c>
      <c r="Y27" s="3"/>
      <c r="Z27" s="3"/>
      <c r="AA27" s="3"/>
      <c r="AB27" s="3">
        <f>SUM(K27:AA27)</f>
        <v>380</v>
      </c>
      <c r="AC27" s="3">
        <v>13</v>
      </c>
      <c r="AD27" s="16">
        <f t="shared" si="1"/>
        <v>3.3078880407124679E-2</v>
      </c>
    </row>
    <row r="28" spans="1:30" x14ac:dyDescent="0.5">
      <c r="A28" s="9">
        <v>58</v>
      </c>
      <c r="B28" s="3">
        <v>4</v>
      </c>
      <c r="C28" s="3">
        <v>65</v>
      </c>
      <c r="D28" s="3">
        <v>888</v>
      </c>
      <c r="E28" s="3">
        <v>0</v>
      </c>
      <c r="F28" s="3">
        <v>183</v>
      </c>
      <c r="G28" s="3">
        <v>364</v>
      </c>
      <c r="H28" s="3">
        <v>470</v>
      </c>
      <c r="I28" s="16">
        <f t="shared" si="0"/>
        <v>0.52927927927927931</v>
      </c>
      <c r="J28" s="3">
        <v>850</v>
      </c>
      <c r="K28" s="3">
        <v>3</v>
      </c>
      <c r="L28" s="3">
        <v>130</v>
      </c>
      <c r="M28" s="3">
        <v>1</v>
      </c>
      <c r="N28" s="3"/>
      <c r="O28" s="3">
        <v>0</v>
      </c>
      <c r="P28" s="3"/>
      <c r="Q28" s="3">
        <v>0</v>
      </c>
      <c r="R28" s="3">
        <v>0</v>
      </c>
      <c r="S28" s="3">
        <v>1</v>
      </c>
      <c r="T28" s="3">
        <v>0</v>
      </c>
      <c r="U28" s="3">
        <v>0</v>
      </c>
      <c r="V28" s="3">
        <v>0</v>
      </c>
      <c r="W28" s="3">
        <v>1</v>
      </c>
      <c r="X28" s="3">
        <v>318</v>
      </c>
      <c r="Y28" s="3"/>
      <c r="Z28" s="3"/>
      <c r="AA28" s="3"/>
      <c r="AB28" s="3">
        <f>SUM(K28:AA28)</f>
        <v>454</v>
      </c>
      <c r="AC28" s="3">
        <v>16</v>
      </c>
      <c r="AD28" s="16">
        <f t="shared" si="1"/>
        <v>3.4042553191489362E-2</v>
      </c>
    </row>
    <row r="29" spans="1:30" s="5" customFormat="1" x14ac:dyDescent="0.5">
      <c r="A29" s="11">
        <v>58</v>
      </c>
      <c r="B29" s="8">
        <v>4</v>
      </c>
      <c r="C29" s="12" t="s">
        <v>0</v>
      </c>
      <c r="D29" s="8">
        <f>SUM(D25:D28)</f>
        <v>4215</v>
      </c>
      <c r="E29" s="8">
        <f>SUM(E25:E28)</f>
        <v>1</v>
      </c>
      <c r="F29" s="8">
        <f>SUM(F25:F28)</f>
        <v>945</v>
      </c>
      <c r="G29" s="8">
        <f>SUM(G25:G28)</f>
        <v>1724</v>
      </c>
      <c r="H29" s="8">
        <f>SUM(H25:H28)</f>
        <v>2194</v>
      </c>
      <c r="I29" s="21">
        <f t="shared" si="0"/>
        <v>0.52052194543297747</v>
      </c>
      <c r="J29" s="8">
        <f t="shared" ref="J29:AC29" si="9">SUM(J25:J28)</f>
        <v>3900</v>
      </c>
      <c r="K29" s="8">
        <f t="shared" si="9"/>
        <v>6</v>
      </c>
      <c r="L29" s="8">
        <f t="shared" si="9"/>
        <v>422</v>
      </c>
      <c r="M29" s="8">
        <f t="shared" si="9"/>
        <v>6</v>
      </c>
      <c r="N29" s="8">
        <f t="shared" si="9"/>
        <v>0</v>
      </c>
      <c r="O29" s="8">
        <f t="shared" si="9"/>
        <v>2</v>
      </c>
      <c r="P29" s="8">
        <f t="shared" si="9"/>
        <v>0</v>
      </c>
      <c r="Q29" s="8">
        <f t="shared" si="9"/>
        <v>7</v>
      </c>
      <c r="R29" s="8">
        <f t="shared" si="9"/>
        <v>3</v>
      </c>
      <c r="S29" s="8">
        <f t="shared" si="9"/>
        <v>5</v>
      </c>
      <c r="T29" s="8">
        <f t="shared" si="9"/>
        <v>3</v>
      </c>
      <c r="U29" s="8">
        <f t="shared" si="9"/>
        <v>2</v>
      </c>
      <c r="V29" s="8">
        <f t="shared" si="9"/>
        <v>1</v>
      </c>
      <c r="W29" s="8">
        <f t="shared" si="9"/>
        <v>5</v>
      </c>
      <c r="X29" s="8">
        <f t="shared" si="9"/>
        <v>1678</v>
      </c>
      <c r="Y29" s="8">
        <f t="shared" si="9"/>
        <v>0</v>
      </c>
      <c r="Z29" s="8">
        <f t="shared" si="9"/>
        <v>0</v>
      </c>
      <c r="AA29" s="8">
        <f t="shared" si="9"/>
        <v>0</v>
      </c>
      <c r="AB29" s="8">
        <f t="shared" si="9"/>
        <v>2140</v>
      </c>
      <c r="AC29" s="8">
        <f t="shared" si="9"/>
        <v>54</v>
      </c>
      <c r="AD29" s="21">
        <f t="shared" si="1"/>
        <v>2.4612579762989972E-2</v>
      </c>
    </row>
    <row r="30" spans="1:30" x14ac:dyDescent="0.5">
      <c r="A30" s="9">
        <v>60</v>
      </c>
      <c r="B30" s="13" t="s">
        <v>33</v>
      </c>
      <c r="C30" s="3">
        <v>3</v>
      </c>
      <c r="D30" s="3">
        <v>1107</v>
      </c>
      <c r="E30" s="3">
        <v>0</v>
      </c>
      <c r="F30" s="3">
        <v>187</v>
      </c>
      <c r="G30" s="3">
        <v>388</v>
      </c>
      <c r="H30" s="3">
        <v>492</v>
      </c>
      <c r="I30" s="16">
        <f t="shared" si="0"/>
        <v>0.44444444444444442</v>
      </c>
      <c r="J30" s="3">
        <v>1000</v>
      </c>
      <c r="K30" s="3">
        <v>0</v>
      </c>
      <c r="L30" s="3">
        <v>102</v>
      </c>
      <c r="M30" s="3">
        <v>0</v>
      </c>
      <c r="N30" s="3"/>
      <c r="O30" s="3">
        <v>10</v>
      </c>
      <c r="P30" s="3"/>
      <c r="Q30" s="3">
        <v>0</v>
      </c>
      <c r="R30" s="3">
        <v>1</v>
      </c>
      <c r="S30" s="3"/>
      <c r="T30" s="3">
        <v>0</v>
      </c>
      <c r="U30" s="3">
        <v>0</v>
      </c>
      <c r="V30" s="3">
        <v>0</v>
      </c>
      <c r="W30" s="3">
        <v>1</v>
      </c>
      <c r="X30" s="3">
        <v>346</v>
      </c>
      <c r="Y30" s="3">
        <v>16</v>
      </c>
      <c r="Z30" s="3">
        <v>7</v>
      </c>
      <c r="AA30" s="3"/>
      <c r="AB30" s="3">
        <f>SUM(K30:AA30)</f>
        <v>483</v>
      </c>
      <c r="AC30" s="3">
        <v>9</v>
      </c>
      <c r="AD30" s="16">
        <f t="shared" si="1"/>
        <v>1.8292682926829267E-2</v>
      </c>
    </row>
    <row r="31" spans="1:30" x14ac:dyDescent="0.5">
      <c r="A31" s="9">
        <v>60</v>
      </c>
      <c r="B31" s="13" t="s">
        <v>33</v>
      </c>
      <c r="C31" s="3">
        <v>8</v>
      </c>
      <c r="D31" s="3">
        <v>1356</v>
      </c>
      <c r="E31" s="3">
        <v>2</v>
      </c>
      <c r="F31" s="3">
        <v>224</v>
      </c>
      <c r="G31" s="3">
        <v>529</v>
      </c>
      <c r="H31" s="3">
        <v>642</v>
      </c>
      <c r="I31" s="16">
        <f t="shared" si="0"/>
        <v>0.47345132743362833</v>
      </c>
      <c r="J31" s="3">
        <v>1250</v>
      </c>
      <c r="K31" s="3">
        <v>0</v>
      </c>
      <c r="L31" s="3">
        <v>76</v>
      </c>
      <c r="M31" s="3">
        <v>0</v>
      </c>
      <c r="N31" s="3"/>
      <c r="O31" s="3">
        <v>19</v>
      </c>
      <c r="P31" s="3"/>
      <c r="Q31" s="3">
        <v>1</v>
      </c>
      <c r="R31" s="3">
        <v>0</v>
      </c>
      <c r="S31" s="3"/>
      <c r="T31" s="3">
        <v>1</v>
      </c>
      <c r="U31" s="3">
        <v>0</v>
      </c>
      <c r="V31" s="3">
        <v>0</v>
      </c>
      <c r="W31" s="3">
        <v>0</v>
      </c>
      <c r="X31" s="3">
        <v>498</v>
      </c>
      <c r="Y31" s="3">
        <v>26</v>
      </c>
      <c r="Z31" s="3">
        <v>13</v>
      </c>
      <c r="AA31" s="3"/>
      <c r="AB31" s="3">
        <f>SUM(K31:AA31)</f>
        <v>634</v>
      </c>
      <c r="AC31" s="3">
        <v>8</v>
      </c>
      <c r="AD31" s="16">
        <f t="shared" si="1"/>
        <v>1.2461059190031152E-2</v>
      </c>
    </row>
    <row r="32" spans="1:30" x14ac:dyDescent="0.5">
      <c r="A32" s="9">
        <v>60</v>
      </c>
      <c r="B32" s="13" t="s">
        <v>33</v>
      </c>
      <c r="C32" s="3">
        <v>10</v>
      </c>
      <c r="D32" s="3">
        <v>723</v>
      </c>
      <c r="E32" s="3">
        <v>2</v>
      </c>
      <c r="F32" s="3">
        <v>120</v>
      </c>
      <c r="G32" s="3">
        <v>281</v>
      </c>
      <c r="H32" s="3">
        <v>352</v>
      </c>
      <c r="I32" s="16">
        <f t="shared" si="0"/>
        <v>0.48686030428769017</v>
      </c>
      <c r="J32" s="3">
        <v>650</v>
      </c>
      <c r="K32" s="3">
        <v>0</v>
      </c>
      <c r="L32" s="3">
        <v>46</v>
      </c>
      <c r="M32" s="3">
        <v>1</v>
      </c>
      <c r="N32" s="3"/>
      <c r="O32" s="3">
        <v>7</v>
      </c>
      <c r="P32" s="3"/>
      <c r="Q32" s="3">
        <v>3</v>
      </c>
      <c r="R32" s="3">
        <v>0</v>
      </c>
      <c r="S32" s="3"/>
      <c r="T32" s="3">
        <v>0</v>
      </c>
      <c r="U32" s="3">
        <v>0</v>
      </c>
      <c r="V32" s="3">
        <v>0</v>
      </c>
      <c r="W32" s="3">
        <v>0</v>
      </c>
      <c r="X32" s="3">
        <v>245</v>
      </c>
      <c r="Y32" s="3">
        <v>12</v>
      </c>
      <c r="Z32" s="3">
        <v>33</v>
      </c>
      <c r="AA32" s="3"/>
      <c r="AB32" s="3">
        <f>SUM(K32:AA32)</f>
        <v>347</v>
      </c>
      <c r="AC32" s="3">
        <v>5</v>
      </c>
      <c r="AD32" s="16">
        <f t="shared" si="1"/>
        <v>1.4204545454545454E-2</v>
      </c>
    </row>
    <row r="33" spans="1:30" x14ac:dyDescent="0.5">
      <c r="A33" s="9">
        <v>60</v>
      </c>
      <c r="B33" s="13" t="s">
        <v>33</v>
      </c>
      <c r="C33" s="3">
        <v>55</v>
      </c>
      <c r="D33" s="3">
        <v>1093</v>
      </c>
      <c r="E33" s="3">
        <v>1</v>
      </c>
      <c r="F33" s="3">
        <v>149</v>
      </c>
      <c r="G33" s="3">
        <v>311</v>
      </c>
      <c r="H33" s="3">
        <v>405</v>
      </c>
      <c r="I33" s="16">
        <f t="shared" si="0"/>
        <v>0.37053979871912168</v>
      </c>
      <c r="J33" s="3">
        <v>1000</v>
      </c>
      <c r="K33" s="3">
        <v>1</v>
      </c>
      <c r="L33" s="3">
        <v>62</v>
      </c>
      <c r="M33" s="3">
        <v>2</v>
      </c>
      <c r="N33" s="3"/>
      <c r="O33" s="3">
        <v>12</v>
      </c>
      <c r="P33" s="3"/>
      <c r="Q33" s="3">
        <v>0</v>
      </c>
      <c r="R33" s="3">
        <v>1</v>
      </c>
      <c r="S33" s="3"/>
      <c r="T33" s="3">
        <v>0</v>
      </c>
      <c r="U33" s="3">
        <v>1</v>
      </c>
      <c r="V33" s="3">
        <v>1</v>
      </c>
      <c r="W33" s="3">
        <v>0</v>
      </c>
      <c r="X33" s="3">
        <v>274</v>
      </c>
      <c r="Y33" s="3">
        <v>35</v>
      </c>
      <c r="Z33" s="3">
        <v>5</v>
      </c>
      <c r="AA33" s="3"/>
      <c r="AB33" s="3">
        <f>SUM(K33:AA33)</f>
        <v>394</v>
      </c>
      <c r="AC33" s="3">
        <v>11</v>
      </c>
      <c r="AD33" s="16">
        <f t="shared" si="1"/>
        <v>2.7160493827160494E-2</v>
      </c>
    </row>
    <row r="34" spans="1:30" x14ac:dyDescent="0.5">
      <c r="A34" s="9">
        <v>60</v>
      </c>
      <c r="B34" s="13" t="s">
        <v>33</v>
      </c>
      <c r="C34" s="3">
        <v>57</v>
      </c>
      <c r="D34" s="3">
        <v>810</v>
      </c>
      <c r="E34" s="3">
        <v>1</v>
      </c>
      <c r="F34" s="3">
        <v>225</v>
      </c>
      <c r="G34" s="3">
        <v>393</v>
      </c>
      <c r="H34" s="3">
        <v>446</v>
      </c>
      <c r="I34" s="16">
        <f t="shared" si="0"/>
        <v>0.55061728395061726</v>
      </c>
      <c r="J34" s="3">
        <v>750</v>
      </c>
      <c r="K34" s="3">
        <v>1</v>
      </c>
      <c r="L34" s="3">
        <v>77</v>
      </c>
      <c r="M34" s="3">
        <v>2</v>
      </c>
      <c r="N34" s="3"/>
      <c r="O34" s="3">
        <v>7</v>
      </c>
      <c r="P34" s="3"/>
      <c r="Q34" s="3">
        <v>2</v>
      </c>
      <c r="R34" s="3">
        <v>0</v>
      </c>
      <c r="S34" s="3"/>
      <c r="T34" s="3">
        <v>0</v>
      </c>
      <c r="U34" s="3">
        <v>0</v>
      </c>
      <c r="V34" s="3">
        <v>0</v>
      </c>
      <c r="W34" s="3">
        <v>0</v>
      </c>
      <c r="X34" s="3">
        <v>280</v>
      </c>
      <c r="Y34" s="3">
        <v>13</v>
      </c>
      <c r="Z34" s="3">
        <v>50</v>
      </c>
      <c r="AA34" s="3"/>
      <c r="AB34" s="3">
        <f>SUM(K34:AA34)</f>
        <v>432</v>
      </c>
      <c r="AC34" s="3">
        <v>14</v>
      </c>
      <c r="AD34" s="16">
        <f t="shared" si="1"/>
        <v>3.1390134529147982E-2</v>
      </c>
    </row>
    <row r="35" spans="1:30" s="5" customFormat="1" x14ac:dyDescent="0.5">
      <c r="A35" s="11">
        <v>60</v>
      </c>
      <c r="B35" s="13" t="s">
        <v>33</v>
      </c>
      <c r="C35" s="12" t="s">
        <v>0</v>
      </c>
      <c r="D35" s="8">
        <f>SUM(D30:D34)</f>
        <v>5089</v>
      </c>
      <c r="E35" s="8">
        <f>SUM(E30:E34)</f>
        <v>6</v>
      </c>
      <c r="F35" s="8">
        <f>SUM(F30:F34)</f>
        <v>905</v>
      </c>
      <c r="G35" s="8">
        <f>SUM(G30:G34)</f>
        <v>1902</v>
      </c>
      <c r="H35" s="8">
        <f>SUM(H30:H34)</f>
        <v>2337</v>
      </c>
      <c r="I35" s="21">
        <f t="shared" si="0"/>
        <v>0.4592257810964826</v>
      </c>
      <c r="J35" s="8">
        <f t="shared" ref="J35:AC35" si="10">SUM(J30:J34)</f>
        <v>4650</v>
      </c>
      <c r="K35" s="8">
        <f t="shared" si="10"/>
        <v>2</v>
      </c>
      <c r="L35" s="8">
        <f t="shared" si="10"/>
        <v>363</v>
      </c>
      <c r="M35" s="8">
        <f t="shared" si="10"/>
        <v>5</v>
      </c>
      <c r="N35" s="8">
        <f t="shared" si="10"/>
        <v>0</v>
      </c>
      <c r="O35" s="8">
        <f t="shared" si="10"/>
        <v>55</v>
      </c>
      <c r="P35" s="8">
        <f t="shared" si="10"/>
        <v>0</v>
      </c>
      <c r="Q35" s="8">
        <f t="shared" si="10"/>
        <v>6</v>
      </c>
      <c r="R35" s="8">
        <f t="shared" si="10"/>
        <v>2</v>
      </c>
      <c r="S35" s="8">
        <f t="shared" si="10"/>
        <v>0</v>
      </c>
      <c r="T35" s="8">
        <f t="shared" si="10"/>
        <v>1</v>
      </c>
      <c r="U35" s="8">
        <f t="shared" si="10"/>
        <v>1</v>
      </c>
      <c r="V35" s="8">
        <f t="shared" si="10"/>
        <v>1</v>
      </c>
      <c r="W35" s="8">
        <f t="shared" si="10"/>
        <v>1</v>
      </c>
      <c r="X35" s="8">
        <f t="shared" si="10"/>
        <v>1643</v>
      </c>
      <c r="Y35" s="8">
        <f t="shared" si="10"/>
        <v>102</v>
      </c>
      <c r="Z35" s="8">
        <f t="shared" si="10"/>
        <v>108</v>
      </c>
      <c r="AA35" s="8">
        <f t="shared" si="10"/>
        <v>0</v>
      </c>
      <c r="AB35" s="8">
        <f t="shared" si="10"/>
        <v>2290</v>
      </c>
      <c r="AC35" s="8">
        <f t="shared" si="10"/>
        <v>47</v>
      </c>
      <c r="AD35" s="21">
        <f t="shared" si="1"/>
        <v>2.0111253744116389E-2</v>
      </c>
    </row>
  </sheetData>
  <sortState xmlns:xlrd2="http://schemas.microsoft.com/office/spreadsheetml/2017/richdata2" ref="A2:AD35">
    <sortCondition ref="A2:A35"/>
  </sortState>
  <pageMargins left="0.2" right="0.2" top="0.25" bottom="0.25" header="0.3" footer="0.3"/>
  <pageSetup paperSize="8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09DC-9B2D-4274-8462-0262500BD6AA}">
  <dimension ref="A1:C160"/>
  <sheetViews>
    <sheetView tabSelected="1" topLeftCell="A137" workbookViewId="0">
      <selection activeCell="A160" sqref="A88:A160"/>
    </sheetView>
  </sheetViews>
  <sheetFormatPr defaultRowHeight="14.6" x14ac:dyDescent="0.4"/>
  <sheetData>
    <row r="1" spans="1:3" x14ac:dyDescent="0.4">
      <c r="A1" t="s">
        <v>50</v>
      </c>
      <c r="B1" t="s">
        <v>51</v>
      </c>
      <c r="C1" t="s">
        <v>49</v>
      </c>
    </row>
    <row r="2" spans="1:3" x14ac:dyDescent="0.4">
      <c r="A2" t="s">
        <v>52</v>
      </c>
      <c r="B2">
        <v>22</v>
      </c>
      <c r="C2" t="s">
        <v>34</v>
      </c>
    </row>
    <row r="3" spans="1:3" x14ac:dyDescent="0.4">
      <c r="A3" t="s">
        <v>52</v>
      </c>
      <c r="B3">
        <v>22</v>
      </c>
      <c r="C3" t="s">
        <v>35</v>
      </c>
    </row>
    <row r="4" spans="1:3" x14ac:dyDescent="0.4">
      <c r="A4" t="s">
        <v>52</v>
      </c>
      <c r="B4">
        <v>22</v>
      </c>
      <c r="C4" t="s">
        <v>36</v>
      </c>
    </row>
    <row r="5" spans="1:3" x14ac:dyDescent="0.4">
      <c r="A5" t="s">
        <v>52</v>
      </c>
      <c r="B5">
        <v>22</v>
      </c>
      <c r="C5" t="s">
        <v>37</v>
      </c>
    </row>
    <row r="6" spans="1:3" x14ac:dyDescent="0.4">
      <c r="A6" t="s">
        <v>52</v>
      </c>
      <c r="B6">
        <v>22</v>
      </c>
      <c r="C6" t="s">
        <v>38</v>
      </c>
    </row>
    <row r="7" spans="1:3" x14ac:dyDescent="0.4">
      <c r="A7" t="s">
        <v>52</v>
      </c>
      <c r="B7">
        <v>22</v>
      </c>
      <c r="C7" t="s">
        <v>39</v>
      </c>
    </row>
    <row r="8" spans="1:3" x14ac:dyDescent="0.4">
      <c r="A8" t="s">
        <v>52</v>
      </c>
      <c r="B8">
        <v>22</v>
      </c>
      <c r="C8" t="s">
        <v>40</v>
      </c>
    </row>
    <row r="9" spans="1:3" x14ac:dyDescent="0.4">
      <c r="A9" t="s">
        <v>52</v>
      </c>
      <c r="B9">
        <v>22</v>
      </c>
      <c r="C9" t="s">
        <v>41</v>
      </c>
    </row>
    <row r="10" spans="1:3" x14ac:dyDescent="0.4">
      <c r="A10" t="s">
        <v>52</v>
      </c>
      <c r="B10">
        <v>22</v>
      </c>
      <c r="C10" t="s">
        <v>42</v>
      </c>
    </row>
    <row r="11" spans="1:3" x14ac:dyDescent="0.4">
      <c r="A11" t="s">
        <v>52</v>
      </c>
      <c r="B11">
        <v>22</v>
      </c>
      <c r="C11" t="s">
        <v>43</v>
      </c>
    </row>
    <row r="12" spans="1:3" x14ac:dyDescent="0.4">
      <c r="A12" t="s">
        <v>52</v>
      </c>
      <c r="B12">
        <v>22</v>
      </c>
      <c r="C12" t="s">
        <v>44</v>
      </c>
    </row>
    <row r="13" spans="1:3" x14ac:dyDescent="0.4">
      <c r="A13" t="s">
        <v>52</v>
      </c>
      <c r="B13">
        <v>22</v>
      </c>
      <c r="C13" t="s">
        <v>45</v>
      </c>
    </row>
    <row r="14" spans="1:3" x14ac:dyDescent="0.4">
      <c r="A14" t="s">
        <v>52</v>
      </c>
      <c r="B14">
        <v>22</v>
      </c>
      <c r="C14" t="s">
        <v>46</v>
      </c>
    </row>
    <row r="15" spans="1:3" x14ac:dyDescent="0.4">
      <c r="A15" t="s">
        <v>52</v>
      </c>
      <c r="B15">
        <v>22</v>
      </c>
      <c r="C15" t="s">
        <v>47</v>
      </c>
    </row>
    <row r="16" spans="1:3" x14ac:dyDescent="0.4">
      <c r="A16" t="s">
        <v>52</v>
      </c>
      <c r="B16">
        <v>22</v>
      </c>
      <c r="C16" t="s">
        <v>48</v>
      </c>
    </row>
    <row r="17" spans="1:3" x14ac:dyDescent="0.4">
      <c r="A17" t="s">
        <v>52</v>
      </c>
      <c r="B17">
        <v>51</v>
      </c>
      <c r="C17" t="s">
        <v>53</v>
      </c>
    </row>
    <row r="18" spans="1:3" x14ac:dyDescent="0.4">
      <c r="A18" t="s">
        <v>52</v>
      </c>
      <c r="B18">
        <v>51</v>
      </c>
      <c r="C18" t="s">
        <v>54</v>
      </c>
    </row>
    <row r="19" spans="1:3" x14ac:dyDescent="0.4">
      <c r="A19" t="s">
        <v>52</v>
      </c>
      <c r="B19">
        <v>51</v>
      </c>
      <c r="C19" t="s">
        <v>55</v>
      </c>
    </row>
    <row r="20" spans="1:3" x14ac:dyDescent="0.4">
      <c r="A20" t="s">
        <v>52</v>
      </c>
      <c r="B20">
        <v>51</v>
      </c>
      <c r="C20" t="s">
        <v>56</v>
      </c>
    </row>
    <row r="21" spans="1:3" x14ac:dyDescent="0.4">
      <c r="A21" t="s">
        <v>52</v>
      </c>
      <c r="B21">
        <v>51</v>
      </c>
      <c r="C21" t="s">
        <v>57</v>
      </c>
    </row>
    <row r="22" spans="1:3" x14ac:dyDescent="0.4">
      <c r="A22" t="s">
        <v>52</v>
      </c>
      <c r="B22">
        <v>51</v>
      </c>
      <c r="C22" t="s">
        <v>58</v>
      </c>
    </row>
    <row r="23" spans="1:3" x14ac:dyDescent="0.4">
      <c r="A23" t="s">
        <v>52</v>
      </c>
      <c r="B23">
        <v>51</v>
      </c>
      <c r="C23" t="s">
        <v>59</v>
      </c>
    </row>
    <row r="24" spans="1:3" x14ac:dyDescent="0.4">
      <c r="A24" t="s">
        <v>52</v>
      </c>
      <c r="B24">
        <v>51</v>
      </c>
      <c r="C24" t="s">
        <v>60</v>
      </c>
    </row>
    <row r="25" spans="1:3" x14ac:dyDescent="0.4">
      <c r="A25" t="s">
        <v>52</v>
      </c>
      <c r="B25">
        <v>51</v>
      </c>
      <c r="C25" t="s">
        <v>61</v>
      </c>
    </row>
    <row r="26" spans="1:3" x14ac:dyDescent="0.4">
      <c r="A26" t="s">
        <v>52</v>
      </c>
      <c r="B26">
        <v>51</v>
      </c>
      <c r="C26" t="s">
        <v>62</v>
      </c>
    </row>
    <row r="27" spans="1:3" x14ac:dyDescent="0.4">
      <c r="A27" t="s">
        <v>52</v>
      </c>
      <c r="B27">
        <v>51</v>
      </c>
      <c r="C27" t="s">
        <v>63</v>
      </c>
    </row>
    <row r="28" spans="1:3" x14ac:dyDescent="0.4">
      <c r="A28" t="s">
        <v>52</v>
      </c>
      <c r="B28">
        <v>51</v>
      </c>
      <c r="C28" t="s">
        <v>64</v>
      </c>
    </row>
    <row r="29" spans="1:3" x14ac:dyDescent="0.4">
      <c r="A29" t="s">
        <v>52</v>
      </c>
      <c r="B29">
        <v>51</v>
      </c>
      <c r="C29" t="s">
        <v>65</v>
      </c>
    </row>
    <row r="30" spans="1:3" x14ac:dyDescent="0.4">
      <c r="A30" t="s">
        <v>52</v>
      </c>
      <c r="B30">
        <v>51</v>
      </c>
      <c r="C30" t="s">
        <v>66</v>
      </c>
    </row>
    <row r="31" spans="1:3" x14ac:dyDescent="0.4">
      <c r="A31" t="s">
        <v>52</v>
      </c>
      <c r="B31">
        <v>51</v>
      </c>
      <c r="C31" t="s">
        <v>67</v>
      </c>
    </row>
    <row r="32" spans="1:3" x14ac:dyDescent="0.4">
      <c r="A32" t="s">
        <v>52</v>
      </c>
      <c r="B32">
        <v>51</v>
      </c>
      <c r="C32" t="s">
        <v>68</v>
      </c>
    </row>
    <row r="33" spans="1:3" x14ac:dyDescent="0.4">
      <c r="A33" t="s">
        <v>52</v>
      </c>
      <c r="B33">
        <v>56</v>
      </c>
      <c r="C33" t="s">
        <v>69</v>
      </c>
    </row>
    <row r="34" spans="1:3" x14ac:dyDescent="0.4">
      <c r="A34" t="s">
        <v>52</v>
      </c>
      <c r="B34">
        <v>56</v>
      </c>
      <c r="C34" t="s">
        <v>70</v>
      </c>
    </row>
    <row r="35" spans="1:3" x14ac:dyDescent="0.4">
      <c r="A35" t="s">
        <v>52</v>
      </c>
      <c r="B35">
        <v>56</v>
      </c>
      <c r="C35" t="s">
        <v>71</v>
      </c>
    </row>
    <row r="36" spans="1:3" x14ac:dyDescent="0.4">
      <c r="A36" t="s">
        <v>52</v>
      </c>
      <c r="B36">
        <v>56</v>
      </c>
      <c r="C36" t="s">
        <v>72</v>
      </c>
    </row>
    <row r="37" spans="1:3" x14ac:dyDescent="0.4">
      <c r="A37" t="s">
        <v>52</v>
      </c>
      <c r="B37">
        <v>56</v>
      </c>
      <c r="C37" t="s">
        <v>73</v>
      </c>
    </row>
    <row r="38" spans="1:3" x14ac:dyDescent="0.4">
      <c r="A38" t="s">
        <v>52</v>
      </c>
      <c r="B38">
        <v>56</v>
      </c>
      <c r="C38" t="s">
        <v>74</v>
      </c>
    </row>
    <row r="39" spans="1:3" x14ac:dyDescent="0.4">
      <c r="A39" t="s">
        <v>52</v>
      </c>
      <c r="B39">
        <v>56</v>
      </c>
      <c r="C39" t="s">
        <v>75</v>
      </c>
    </row>
    <row r="40" spans="1:3" x14ac:dyDescent="0.4">
      <c r="A40" t="s">
        <v>52</v>
      </c>
      <c r="B40">
        <v>56</v>
      </c>
      <c r="C40" t="s">
        <v>76</v>
      </c>
    </row>
    <row r="41" spans="1:3" x14ac:dyDescent="0.4">
      <c r="A41" t="s">
        <v>52</v>
      </c>
      <c r="B41">
        <v>56</v>
      </c>
      <c r="C41" t="s">
        <v>77</v>
      </c>
    </row>
    <row r="42" spans="1:3" x14ac:dyDescent="0.4">
      <c r="A42" t="s">
        <v>52</v>
      </c>
      <c r="B42">
        <v>56</v>
      </c>
      <c r="C42" t="s">
        <v>78</v>
      </c>
    </row>
    <row r="43" spans="1:3" x14ac:dyDescent="0.4">
      <c r="A43" t="s">
        <v>52</v>
      </c>
      <c r="B43">
        <v>56</v>
      </c>
      <c r="C43" t="s">
        <v>79</v>
      </c>
    </row>
    <row r="44" spans="1:3" x14ac:dyDescent="0.4">
      <c r="A44" t="s">
        <v>52</v>
      </c>
      <c r="B44">
        <v>56</v>
      </c>
      <c r="C44" t="s">
        <v>80</v>
      </c>
    </row>
    <row r="45" spans="1:3" x14ac:dyDescent="0.4">
      <c r="A45" t="s">
        <v>52</v>
      </c>
      <c r="B45">
        <v>56</v>
      </c>
      <c r="C45" t="s">
        <v>81</v>
      </c>
    </row>
    <row r="46" spans="1:3" x14ac:dyDescent="0.4">
      <c r="A46" t="s">
        <v>52</v>
      </c>
      <c r="B46">
        <v>67</v>
      </c>
      <c r="C46" t="s">
        <v>82</v>
      </c>
    </row>
    <row r="47" spans="1:3" x14ac:dyDescent="0.4">
      <c r="A47" t="s">
        <v>52</v>
      </c>
      <c r="B47">
        <v>67</v>
      </c>
      <c r="C47" t="s">
        <v>83</v>
      </c>
    </row>
    <row r="48" spans="1:3" x14ac:dyDescent="0.4">
      <c r="A48" t="s">
        <v>52</v>
      </c>
      <c r="B48">
        <v>67</v>
      </c>
      <c r="C48" t="s">
        <v>84</v>
      </c>
    </row>
    <row r="49" spans="1:3" x14ac:dyDescent="0.4">
      <c r="A49" t="s">
        <v>52</v>
      </c>
      <c r="B49">
        <v>67</v>
      </c>
      <c r="C49" t="s">
        <v>85</v>
      </c>
    </row>
    <row r="50" spans="1:3" x14ac:dyDescent="0.4">
      <c r="A50" t="s">
        <v>52</v>
      </c>
      <c r="B50">
        <v>67</v>
      </c>
      <c r="C50" t="s">
        <v>86</v>
      </c>
    </row>
    <row r="51" spans="1:3" x14ac:dyDescent="0.4">
      <c r="A51" t="s">
        <v>52</v>
      </c>
      <c r="B51">
        <v>67</v>
      </c>
      <c r="C51" t="s">
        <v>87</v>
      </c>
    </row>
    <row r="52" spans="1:3" x14ac:dyDescent="0.4">
      <c r="A52" t="s">
        <v>52</v>
      </c>
      <c r="B52">
        <v>67</v>
      </c>
      <c r="C52" t="s">
        <v>88</v>
      </c>
    </row>
    <row r="53" spans="1:3" x14ac:dyDescent="0.4">
      <c r="A53" t="s">
        <v>52</v>
      </c>
      <c r="B53">
        <v>67</v>
      </c>
      <c r="C53" t="s">
        <v>89</v>
      </c>
    </row>
    <row r="54" spans="1:3" x14ac:dyDescent="0.4">
      <c r="A54" t="s">
        <v>52</v>
      </c>
      <c r="B54">
        <v>67</v>
      </c>
      <c r="C54" t="s">
        <v>90</v>
      </c>
    </row>
    <row r="55" spans="1:3" x14ac:dyDescent="0.4">
      <c r="A55" t="s">
        <v>52</v>
      </c>
      <c r="B55">
        <v>67</v>
      </c>
      <c r="C55" t="s">
        <v>91</v>
      </c>
    </row>
    <row r="56" spans="1:3" x14ac:dyDescent="0.4">
      <c r="A56" t="s">
        <v>52</v>
      </c>
      <c r="B56">
        <v>67</v>
      </c>
      <c r="C56" t="s">
        <v>92</v>
      </c>
    </row>
    <row r="57" spans="1:3" x14ac:dyDescent="0.4">
      <c r="A57" t="s">
        <v>52</v>
      </c>
      <c r="B57">
        <v>67</v>
      </c>
      <c r="C57" t="s">
        <v>93</v>
      </c>
    </row>
    <row r="58" spans="1:3" x14ac:dyDescent="0.4">
      <c r="A58" t="s">
        <v>52</v>
      </c>
      <c r="B58">
        <v>67</v>
      </c>
      <c r="C58" t="s">
        <v>94</v>
      </c>
    </row>
    <row r="59" spans="1:3" x14ac:dyDescent="0.4">
      <c r="A59" t="s">
        <v>52</v>
      </c>
      <c r="B59">
        <v>67</v>
      </c>
      <c r="C59" t="s">
        <v>95</v>
      </c>
    </row>
    <row r="60" spans="1:3" x14ac:dyDescent="0.4">
      <c r="A60" t="s">
        <v>52</v>
      </c>
      <c r="B60">
        <v>67</v>
      </c>
      <c r="C60" t="s">
        <v>96</v>
      </c>
    </row>
    <row r="61" spans="1:3" x14ac:dyDescent="0.4">
      <c r="A61" t="s">
        <v>52</v>
      </c>
      <c r="B61">
        <v>67</v>
      </c>
      <c r="C61" t="s">
        <v>97</v>
      </c>
    </row>
    <row r="62" spans="1:3" x14ac:dyDescent="0.4">
      <c r="A62" t="s">
        <v>52</v>
      </c>
      <c r="B62">
        <v>84</v>
      </c>
      <c r="C62" t="s">
        <v>98</v>
      </c>
    </row>
    <row r="63" spans="1:3" x14ac:dyDescent="0.4">
      <c r="A63" t="s">
        <v>52</v>
      </c>
      <c r="B63">
        <v>84</v>
      </c>
      <c r="C63" t="s">
        <v>99</v>
      </c>
    </row>
    <row r="64" spans="1:3" x14ac:dyDescent="0.4">
      <c r="A64" t="s">
        <v>52</v>
      </c>
      <c r="B64">
        <v>84</v>
      </c>
      <c r="C64" t="s">
        <v>100</v>
      </c>
    </row>
    <row r="65" spans="1:3" x14ac:dyDescent="0.4">
      <c r="A65" t="s">
        <v>52</v>
      </c>
      <c r="B65">
        <v>84</v>
      </c>
      <c r="C65" t="s">
        <v>101</v>
      </c>
    </row>
    <row r="66" spans="1:3" x14ac:dyDescent="0.4">
      <c r="A66" t="s">
        <v>52</v>
      </c>
      <c r="B66">
        <v>84</v>
      </c>
      <c r="C66" t="s">
        <v>102</v>
      </c>
    </row>
    <row r="67" spans="1:3" x14ac:dyDescent="0.4">
      <c r="A67" t="s">
        <v>52</v>
      </c>
      <c r="B67">
        <v>84</v>
      </c>
      <c r="C67" t="s">
        <v>103</v>
      </c>
    </row>
    <row r="68" spans="1:3" x14ac:dyDescent="0.4">
      <c r="A68" t="s">
        <v>52</v>
      </c>
      <c r="B68">
        <v>84</v>
      </c>
      <c r="C68" t="s">
        <v>104</v>
      </c>
    </row>
    <row r="69" spans="1:3" x14ac:dyDescent="0.4">
      <c r="A69" t="s">
        <v>52</v>
      </c>
      <c r="B69">
        <v>84</v>
      </c>
      <c r="C69" t="s">
        <v>105</v>
      </c>
    </row>
    <row r="70" spans="1:3" x14ac:dyDescent="0.4">
      <c r="A70" t="s">
        <v>52</v>
      </c>
      <c r="B70">
        <v>84</v>
      </c>
      <c r="C70" t="s">
        <v>106</v>
      </c>
    </row>
    <row r="71" spans="1:3" x14ac:dyDescent="0.4">
      <c r="A71" t="s">
        <v>52</v>
      </c>
      <c r="B71">
        <v>84</v>
      </c>
      <c r="C71" t="s">
        <v>107</v>
      </c>
    </row>
    <row r="72" spans="1:3" x14ac:dyDescent="0.4">
      <c r="A72" t="s">
        <v>52</v>
      </c>
      <c r="B72">
        <v>84</v>
      </c>
      <c r="C72" t="s">
        <v>108</v>
      </c>
    </row>
    <row r="73" spans="1:3" x14ac:dyDescent="0.4">
      <c r="A73" t="s">
        <v>52</v>
      </c>
      <c r="B73">
        <v>84</v>
      </c>
      <c r="C73" t="s">
        <v>109</v>
      </c>
    </row>
    <row r="74" spans="1:3" x14ac:dyDescent="0.4">
      <c r="A74" t="s">
        <v>52</v>
      </c>
      <c r="B74">
        <v>84</v>
      </c>
      <c r="C74" t="s">
        <v>110</v>
      </c>
    </row>
    <row r="75" spans="1:3" x14ac:dyDescent="0.4">
      <c r="A75" t="s">
        <v>52</v>
      </c>
      <c r="B75">
        <v>84</v>
      </c>
      <c r="C75" t="s">
        <v>111</v>
      </c>
    </row>
    <row r="76" spans="1:3" x14ac:dyDescent="0.4">
      <c r="A76" t="s">
        <v>112</v>
      </c>
      <c r="B76" s="28" t="s">
        <v>113</v>
      </c>
      <c r="C76" t="s">
        <v>114</v>
      </c>
    </row>
    <row r="77" spans="1:3" x14ac:dyDescent="0.4">
      <c r="A77" t="s">
        <v>112</v>
      </c>
      <c r="B77" s="28" t="s">
        <v>113</v>
      </c>
      <c r="C77" t="s">
        <v>115</v>
      </c>
    </row>
    <row r="78" spans="1:3" x14ac:dyDescent="0.4">
      <c r="A78" t="s">
        <v>112</v>
      </c>
      <c r="B78" s="28" t="s">
        <v>113</v>
      </c>
      <c r="C78" t="s">
        <v>116</v>
      </c>
    </row>
    <row r="79" spans="1:3" x14ac:dyDescent="0.4">
      <c r="A79" t="s">
        <v>112</v>
      </c>
      <c r="B79" s="28" t="s">
        <v>113</v>
      </c>
      <c r="C79" t="s">
        <v>117</v>
      </c>
    </row>
    <row r="80" spans="1:3" x14ac:dyDescent="0.4">
      <c r="A80" t="s">
        <v>112</v>
      </c>
      <c r="B80" s="28" t="s">
        <v>113</v>
      </c>
      <c r="C80" t="s">
        <v>118</v>
      </c>
    </row>
    <row r="81" spans="1:3" x14ac:dyDescent="0.4">
      <c r="A81" t="s">
        <v>112</v>
      </c>
      <c r="B81" s="28" t="s">
        <v>113</v>
      </c>
      <c r="C81" t="s">
        <v>119</v>
      </c>
    </row>
    <row r="82" spans="1:3" x14ac:dyDescent="0.4">
      <c r="A82" t="s">
        <v>112</v>
      </c>
      <c r="B82" s="28" t="s">
        <v>113</v>
      </c>
      <c r="C82" t="s">
        <v>120</v>
      </c>
    </row>
    <row r="83" spans="1:3" x14ac:dyDescent="0.4">
      <c r="A83" t="s">
        <v>112</v>
      </c>
      <c r="B83" s="28" t="s">
        <v>113</v>
      </c>
      <c r="C83" t="s">
        <v>121</v>
      </c>
    </row>
    <row r="84" spans="1:3" x14ac:dyDescent="0.4">
      <c r="A84" t="s">
        <v>112</v>
      </c>
      <c r="B84" s="28" t="s">
        <v>113</v>
      </c>
      <c r="C84" t="s">
        <v>122</v>
      </c>
    </row>
    <row r="85" spans="1:3" x14ac:dyDescent="0.4">
      <c r="A85" t="s">
        <v>112</v>
      </c>
      <c r="B85" s="28" t="s">
        <v>113</v>
      </c>
      <c r="C85" t="s">
        <v>123</v>
      </c>
    </row>
    <row r="86" spans="1:3" x14ac:dyDescent="0.4">
      <c r="A86" t="s">
        <v>112</v>
      </c>
      <c r="B86" s="28" t="s">
        <v>113</v>
      </c>
      <c r="C86" t="s">
        <v>124</v>
      </c>
    </row>
    <row r="87" spans="1:3" x14ac:dyDescent="0.4">
      <c r="A87" t="s">
        <v>112</v>
      </c>
      <c r="B87" s="28" t="s">
        <v>113</v>
      </c>
      <c r="C87" t="s">
        <v>125</v>
      </c>
    </row>
    <row r="88" spans="1:3" x14ac:dyDescent="0.4">
      <c r="A88" t="s">
        <v>112</v>
      </c>
      <c r="B88" s="28" t="s">
        <v>137</v>
      </c>
      <c r="C88" t="s">
        <v>126</v>
      </c>
    </row>
    <row r="89" spans="1:3" x14ac:dyDescent="0.4">
      <c r="A89" t="s">
        <v>112</v>
      </c>
      <c r="B89" s="28" t="s">
        <v>137</v>
      </c>
      <c r="C89" t="s">
        <v>127</v>
      </c>
    </row>
    <row r="90" spans="1:3" x14ac:dyDescent="0.4">
      <c r="A90" t="s">
        <v>112</v>
      </c>
      <c r="B90" s="28" t="s">
        <v>137</v>
      </c>
      <c r="C90" t="s">
        <v>128</v>
      </c>
    </row>
    <row r="91" spans="1:3" x14ac:dyDescent="0.4">
      <c r="A91" t="s">
        <v>112</v>
      </c>
      <c r="B91" s="28" t="s">
        <v>137</v>
      </c>
      <c r="C91" t="s">
        <v>129</v>
      </c>
    </row>
    <row r="92" spans="1:3" x14ac:dyDescent="0.4">
      <c r="A92" t="s">
        <v>112</v>
      </c>
      <c r="B92" s="28" t="s">
        <v>137</v>
      </c>
      <c r="C92" t="s">
        <v>130</v>
      </c>
    </row>
    <row r="93" spans="1:3" x14ac:dyDescent="0.4">
      <c r="A93" t="s">
        <v>112</v>
      </c>
      <c r="B93" s="28" t="s">
        <v>137</v>
      </c>
      <c r="C93" t="s">
        <v>131</v>
      </c>
    </row>
    <row r="94" spans="1:3" x14ac:dyDescent="0.4">
      <c r="A94" t="s">
        <v>112</v>
      </c>
      <c r="B94" s="28" t="s">
        <v>137</v>
      </c>
      <c r="C94" t="s">
        <v>132</v>
      </c>
    </row>
    <row r="95" spans="1:3" x14ac:dyDescent="0.4">
      <c r="A95" t="s">
        <v>112</v>
      </c>
      <c r="B95" s="28" t="s">
        <v>137</v>
      </c>
      <c r="C95" t="s">
        <v>133</v>
      </c>
    </row>
    <row r="96" spans="1:3" x14ac:dyDescent="0.4">
      <c r="A96" t="s">
        <v>112</v>
      </c>
      <c r="B96" s="28" t="s">
        <v>137</v>
      </c>
      <c r="C96" t="s">
        <v>134</v>
      </c>
    </row>
    <row r="97" spans="1:3" x14ac:dyDescent="0.4">
      <c r="A97" t="s">
        <v>112</v>
      </c>
      <c r="B97" s="28" t="s">
        <v>137</v>
      </c>
      <c r="C97" t="s">
        <v>135</v>
      </c>
    </row>
    <row r="98" spans="1:3" x14ac:dyDescent="0.4">
      <c r="A98" t="s">
        <v>112</v>
      </c>
      <c r="B98" s="28" t="s">
        <v>137</v>
      </c>
      <c r="C98" t="s">
        <v>136</v>
      </c>
    </row>
    <row r="99" spans="1:3" x14ac:dyDescent="0.4">
      <c r="A99" t="s">
        <v>112</v>
      </c>
      <c r="B99" s="28" t="s">
        <v>147</v>
      </c>
      <c r="C99" t="s">
        <v>138</v>
      </c>
    </row>
    <row r="100" spans="1:3" x14ac:dyDescent="0.4">
      <c r="A100" t="s">
        <v>112</v>
      </c>
      <c r="B100" s="28" t="s">
        <v>147</v>
      </c>
      <c r="C100" t="s">
        <v>139</v>
      </c>
    </row>
    <row r="101" spans="1:3" x14ac:dyDescent="0.4">
      <c r="A101" t="s">
        <v>112</v>
      </c>
      <c r="B101" s="28" t="s">
        <v>147</v>
      </c>
      <c r="C101" t="s">
        <v>140</v>
      </c>
    </row>
    <row r="102" spans="1:3" x14ac:dyDescent="0.4">
      <c r="A102" t="s">
        <v>112</v>
      </c>
      <c r="B102" s="28" t="s">
        <v>147</v>
      </c>
      <c r="C102" t="s">
        <v>141</v>
      </c>
    </row>
    <row r="103" spans="1:3" x14ac:dyDescent="0.4">
      <c r="A103" t="s">
        <v>112</v>
      </c>
      <c r="B103" s="28" t="s">
        <v>147</v>
      </c>
      <c r="C103" t="s">
        <v>142</v>
      </c>
    </row>
    <row r="104" spans="1:3" x14ac:dyDescent="0.4">
      <c r="A104" t="s">
        <v>112</v>
      </c>
      <c r="B104" s="28" t="s">
        <v>147</v>
      </c>
      <c r="C104" t="s">
        <v>143</v>
      </c>
    </row>
    <row r="105" spans="1:3" x14ac:dyDescent="0.4">
      <c r="A105" t="s">
        <v>112</v>
      </c>
      <c r="B105" s="28" t="s">
        <v>147</v>
      </c>
      <c r="C105" t="s">
        <v>144</v>
      </c>
    </row>
    <row r="106" spans="1:3" x14ac:dyDescent="0.4">
      <c r="A106" t="s">
        <v>112</v>
      </c>
      <c r="B106" s="28" t="s">
        <v>147</v>
      </c>
      <c r="C106" t="s">
        <v>145</v>
      </c>
    </row>
    <row r="107" spans="1:3" x14ac:dyDescent="0.4">
      <c r="A107" t="s">
        <v>112</v>
      </c>
      <c r="B107" s="28" t="s">
        <v>147</v>
      </c>
      <c r="C107" t="s">
        <v>146</v>
      </c>
    </row>
    <row r="108" spans="1:3" x14ac:dyDescent="0.4">
      <c r="A108" t="s">
        <v>112</v>
      </c>
      <c r="B108" s="28" t="s">
        <v>148</v>
      </c>
      <c r="C108" t="s">
        <v>149</v>
      </c>
    </row>
    <row r="109" spans="1:3" x14ac:dyDescent="0.4">
      <c r="A109" t="s">
        <v>112</v>
      </c>
      <c r="B109" s="28" t="s">
        <v>148</v>
      </c>
      <c r="C109" t="s">
        <v>150</v>
      </c>
    </row>
    <row r="110" spans="1:3" x14ac:dyDescent="0.4">
      <c r="A110" t="s">
        <v>112</v>
      </c>
      <c r="B110" s="28" t="s">
        <v>148</v>
      </c>
      <c r="C110" t="s">
        <v>151</v>
      </c>
    </row>
    <row r="111" spans="1:3" x14ac:dyDescent="0.4">
      <c r="A111" t="s">
        <v>112</v>
      </c>
      <c r="B111" s="28" t="s">
        <v>148</v>
      </c>
      <c r="C111" t="s">
        <v>152</v>
      </c>
    </row>
    <row r="112" spans="1:3" x14ac:dyDescent="0.4">
      <c r="A112" t="s">
        <v>112</v>
      </c>
      <c r="B112" s="28" t="s">
        <v>148</v>
      </c>
      <c r="C112" t="s">
        <v>153</v>
      </c>
    </row>
    <row r="113" spans="1:3" x14ac:dyDescent="0.4">
      <c r="A113" t="s">
        <v>112</v>
      </c>
      <c r="B113" s="28" t="s">
        <v>148</v>
      </c>
      <c r="C113" t="s">
        <v>154</v>
      </c>
    </row>
    <row r="114" spans="1:3" x14ac:dyDescent="0.4">
      <c r="A114" t="s">
        <v>112</v>
      </c>
      <c r="B114" s="28" t="s">
        <v>148</v>
      </c>
      <c r="C114" t="s">
        <v>155</v>
      </c>
    </row>
    <row r="115" spans="1:3" x14ac:dyDescent="0.4">
      <c r="A115" t="s">
        <v>112</v>
      </c>
      <c r="B115" s="28" t="s">
        <v>148</v>
      </c>
      <c r="C115" t="s">
        <v>156</v>
      </c>
    </row>
    <row r="116" spans="1:3" x14ac:dyDescent="0.4">
      <c r="A116" t="s">
        <v>112</v>
      </c>
      <c r="B116" s="28" t="s">
        <v>164</v>
      </c>
      <c r="C116" t="s">
        <v>157</v>
      </c>
    </row>
    <row r="117" spans="1:3" x14ac:dyDescent="0.4">
      <c r="A117" t="s">
        <v>112</v>
      </c>
      <c r="B117" s="28" t="s">
        <v>164</v>
      </c>
      <c r="C117" t="s">
        <v>158</v>
      </c>
    </row>
    <row r="118" spans="1:3" x14ac:dyDescent="0.4">
      <c r="A118" t="s">
        <v>112</v>
      </c>
      <c r="B118" s="28" t="s">
        <v>164</v>
      </c>
      <c r="C118" t="s">
        <v>159</v>
      </c>
    </row>
    <row r="119" spans="1:3" x14ac:dyDescent="0.4">
      <c r="A119" t="s">
        <v>112</v>
      </c>
      <c r="B119" s="28" t="s">
        <v>164</v>
      </c>
      <c r="C119" t="s">
        <v>160</v>
      </c>
    </row>
    <row r="120" spans="1:3" x14ac:dyDescent="0.4">
      <c r="A120" t="s">
        <v>112</v>
      </c>
      <c r="B120" s="28" t="s">
        <v>164</v>
      </c>
      <c r="C120" t="s">
        <v>161</v>
      </c>
    </row>
    <row r="121" spans="1:3" x14ac:dyDescent="0.4">
      <c r="A121" t="s">
        <v>112</v>
      </c>
      <c r="B121" s="28" t="s">
        <v>164</v>
      </c>
      <c r="C121" t="s">
        <v>162</v>
      </c>
    </row>
    <row r="122" spans="1:3" x14ac:dyDescent="0.4">
      <c r="A122" t="s">
        <v>112</v>
      </c>
      <c r="B122" s="28" t="s">
        <v>164</v>
      </c>
      <c r="C122" t="s">
        <v>163</v>
      </c>
    </row>
    <row r="123" spans="1:3" x14ac:dyDescent="0.4">
      <c r="A123" t="s">
        <v>112</v>
      </c>
      <c r="B123" s="28" t="s">
        <v>178</v>
      </c>
      <c r="C123" t="s">
        <v>165</v>
      </c>
    </row>
    <row r="124" spans="1:3" x14ac:dyDescent="0.4">
      <c r="A124" t="s">
        <v>112</v>
      </c>
      <c r="B124" s="28" t="s">
        <v>178</v>
      </c>
      <c r="C124" t="s">
        <v>166</v>
      </c>
    </row>
    <row r="125" spans="1:3" x14ac:dyDescent="0.4">
      <c r="A125" t="s">
        <v>112</v>
      </c>
      <c r="B125" s="28" t="s">
        <v>178</v>
      </c>
      <c r="C125" t="s">
        <v>167</v>
      </c>
    </row>
    <row r="126" spans="1:3" x14ac:dyDescent="0.4">
      <c r="A126" t="s">
        <v>112</v>
      </c>
      <c r="B126" s="28" t="s">
        <v>178</v>
      </c>
      <c r="C126" t="s">
        <v>168</v>
      </c>
    </row>
    <row r="127" spans="1:3" x14ac:dyDescent="0.4">
      <c r="A127" t="s">
        <v>112</v>
      </c>
      <c r="B127" s="28" t="s">
        <v>178</v>
      </c>
      <c r="C127" t="s">
        <v>169</v>
      </c>
    </row>
    <row r="128" spans="1:3" x14ac:dyDescent="0.4">
      <c r="A128" t="s">
        <v>112</v>
      </c>
      <c r="B128" s="28" t="s">
        <v>178</v>
      </c>
      <c r="C128" t="s">
        <v>170</v>
      </c>
    </row>
    <row r="129" spans="1:3" x14ac:dyDescent="0.4">
      <c r="A129" t="s">
        <v>112</v>
      </c>
      <c r="B129" s="28" t="s">
        <v>178</v>
      </c>
      <c r="C129" t="s">
        <v>171</v>
      </c>
    </row>
    <row r="130" spans="1:3" x14ac:dyDescent="0.4">
      <c r="A130" t="s">
        <v>112</v>
      </c>
      <c r="B130" s="28" t="s">
        <v>178</v>
      </c>
      <c r="C130" t="s">
        <v>172</v>
      </c>
    </row>
    <row r="131" spans="1:3" x14ac:dyDescent="0.4">
      <c r="A131" t="s">
        <v>112</v>
      </c>
      <c r="B131" s="28" t="s">
        <v>178</v>
      </c>
      <c r="C131" t="s">
        <v>173</v>
      </c>
    </row>
    <row r="132" spans="1:3" x14ac:dyDescent="0.4">
      <c r="A132" t="s">
        <v>112</v>
      </c>
      <c r="B132" s="28" t="s">
        <v>178</v>
      </c>
      <c r="C132" t="s">
        <v>174</v>
      </c>
    </row>
    <row r="133" spans="1:3" x14ac:dyDescent="0.4">
      <c r="A133" t="s">
        <v>112</v>
      </c>
      <c r="B133" s="28" t="s">
        <v>178</v>
      </c>
      <c r="C133" t="s">
        <v>175</v>
      </c>
    </row>
    <row r="134" spans="1:3" x14ac:dyDescent="0.4">
      <c r="A134" t="s">
        <v>112</v>
      </c>
      <c r="B134" s="28" t="s">
        <v>178</v>
      </c>
      <c r="C134" t="s">
        <v>176</v>
      </c>
    </row>
    <row r="135" spans="1:3" x14ac:dyDescent="0.4">
      <c r="A135" t="s">
        <v>112</v>
      </c>
      <c r="B135" s="28" t="s">
        <v>178</v>
      </c>
      <c r="C135" t="s">
        <v>177</v>
      </c>
    </row>
    <row r="136" spans="1:3" x14ac:dyDescent="0.4">
      <c r="A136" t="s">
        <v>112</v>
      </c>
      <c r="B136" s="28" t="s">
        <v>191</v>
      </c>
      <c r="C136" t="s">
        <v>179</v>
      </c>
    </row>
    <row r="137" spans="1:3" x14ac:dyDescent="0.4">
      <c r="A137" t="s">
        <v>112</v>
      </c>
      <c r="B137" s="28" t="s">
        <v>191</v>
      </c>
      <c r="C137" t="s">
        <v>180</v>
      </c>
    </row>
    <row r="138" spans="1:3" x14ac:dyDescent="0.4">
      <c r="A138" t="s">
        <v>112</v>
      </c>
      <c r="B138" s="28" t="s">
        <v>191</v>
      </c>
      <c r="C138" t="s">
        <v>181</v>
      </c>
    </row>
    <row r="139" spans="1:3" x14ac:dyDescent="0.4">
      <c r="A139" t="s">
        <v>112</v>
      </c>
      <c r="B139" s="28" t="s">
        <v>191</v>
      </c>
      <c r="C139" t="s">
        <v>182</v>
      </c>
    </row>
    <row r="140" spans="1:3" x14ac:dyDescent="0.4">
      <c r="A140" t="s">
        <v>112</v>
      </c>
      <c r="B140" s="28" t="s">
        <v>191</v>
      </c>
      <c r="C140" t="s">
        <v>183</v>
      </c>
    </row>
    <row r="141" spans="1:3" x14ac:dyDescent="0.4">
      <c r="A141" t="s">
        <v>112</v>
      </c>
      <c r="B141" s="28" t="s">
        <v>191</v>
      </c>
      <c r="C141" t="s">
        <v>184</v>
      </c>
    </row>
    <row r="142" spans="1:3" x14ac:dyDescent="0.4">
      <c r="A142" t="s">
        <v>112</v>
      </c>
      <c r="B142" s="28" t="s">
        <v>191</v>
      </c>
      <c r="C142" t="s">
        <v>185</v>
      </c>
    </row>
    <row r="143" spans="1:3" x14ac:dyDescent="0.4">
      <c r="A143" t="s">
        <v>112</v>
      </c>
      <c r="B143" s="28" t="s">
        <v>191</v>
      </c>
      <c r="C143" t="s">
        <v>186</v>
      </c>
    </row>
    <row r="144" spans="1:3" x14ac:dyDescent="0.4">
      <c r="A144" t="s">
        <v>112</v>
      </c>
      <c r="B144" s="28" t="s">
        <v>191</v>
      </c>
      <c r="C144" t="s">
        <v>187</v>
      </c>
    </row>
    <row r="145" spans="1:3" x14ac:dyDescent="0.4">
      <c r="A145" t="s">
        <v>112</v>
      </c>
      <c r="B145" s="28" t="s">
        <v>191</v>
      </c>
      <c r="C145" t="s">
        <v>188</v>
      </c>
    </row>
    <row r="146" spans="1:3" x14ac:dyDescent="0.4">
      <c r="A146" t="s">
        <v>112</v>
      </c>
      <c r="B146" s="28" t="s">
        <v>191</v>
      </c>
      <c r="C146" t="s">
        <v>189</v>
      </c>
    </row>
    <row r="147" spans="1:3" x14ac:dyDescent="0.4">
      <c r="A147" t="s">
        <v>112</v>
      </c>
      <c r="B147" s="28" t="s">
        <v>191</v>
      </c>
      <c r="C147" t="s">
        <v>190</v>
      </c>
    </row>
    <row r="148" spans="1:3" x14ac:dyDescent="0.4">
      <c r="A148" t="s">
        <v>112</v>
      </c>
      <c r="B148" s="28" t="s">
        <v>192</v>
      </c>
      <c r="C148" t="s">
        <v>193</v>
      </c>
    </row>
    <row r="149" spans="1:3" x14ac:dyDescent="0.4">
      <c r="A149" t="s">
        <v>112</v>
      </c>
      <c r="B149" s="28" t="s">
        <v>192</v>
      </c>
      <c r="C149" t="s">
        <v>194</v>
      </c>
    </row>
    <row r="150" spans="1:3" x14ac:dyDescent="0.4">
      <c r="A150" t="s">
        <v>112</v>
      </c>
      <c r="B150" s="28" t="s">
        <v>192</v>
      </c>
      <c r="C150" t="s">
        <v>195</v>
      </c>
    </row>
    <row r="151" spans="1:3" x14ac:dyDescent="0.4">
      <c r="A151" t="s">
        <v>112</v>
      </c>
      <c r="B151" s="28" t="s">
        <v>192</v>
      </c>
      <c r="C151" t="s">
        <v>196</v>
      </c>
    </row>
    <row r="152" spans="1:3" x14ac:dyDescent="0.4">
      <c r="A152" t="s">
        <v>112</v>
      </c>
      <c r="B152" s="28" t="s">
        <v>192</v>
      </c>
      <c r="C152" t="s">
        <v>197</v>
      </c>
    </row>
    <row r="153" spans="1:3" x14ac:dyDescent="0.4">
      <c r="A153" t="s">
        <v>112</v>
      </c>
      <c r="B153" s="28" t="s">
        <v>192</v>
      </c>
      <c r="C153" t="s">
        <v>198</v>
      </c>
    </row>
    <row r="154" spans="1:3" x14ac:dyDescent="0.4">
      <c r="A154" t="s">
        <v>112</v>
      </c>
      <c r="B154" s="28" t="s">
        <v>192</v>
      </c>
      <c r="C154" t="s">
        <v>199</v>
      </c>
    </row>
    <row r="155" spans="1:3" x14ac:dyDescent="0.4">
      <c r="A155" t="s">
        <v>112</v>
      </c>
      <c r="B155" s="28" t="s">
        <v>192</v>
      </c>
      <c r="C155" t="s">
        <v>200</v>
      </c>
    </row>
    <row r="156" spans="1:3" x14ac:dyDescent="0.4">
      <c r="A156" t="s">
        <v>112</v>
      </c>
      <c r="B156" s="28" t="s">
        <v>192</v>
      </c>
      <c r="C156" t="s">
        <v>201</v>
      </c>
    </row>
    <row r="157" spans="1:3" x14ac:dyDescent="0.4">
      <c r="A157" t="s">
        <v>112</v>
      </c>
      <c r="B157" s="28" t="s">
        <v>192</v>
      </c>
      <c r="C157" t="s">
        <v>202</v>
      </c>
    </row>
    <row r="158" spans="1:3" x14ac:dyDescent="0.4">
      <c r="A158" t="s">
        <v>112</v>
      </c>
      <c r="B158" s="28" t="s">
        <v>192</v>
      </c>
      <c r="C158" t="s">
        <v>203</v>
      </c>
    </row>
    <row r="159" spans="1:3" x14ac:dyDescent="0.4">
      <c r="A159" t="s">
        <v>112</v>
      </c>
      <c r="B159" s="28" t="s">
        <v>192</v>
      </c>
      <c r="C159" t="s">
        <v>204</v>
      </c>
    </row>
    <row r="160" spans="1:3" x14ac:dyDescent="0.4">
      <c r="A160" t="s">
        <v>112</v>
      </c>
      <c r="B160" s="28" t="s">
        <v>192</v>
      </c>
      <c r="C160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მერი</vt:lpstr>
      <vt:lpstr>საკრებულო</vt:lpstr>
      <vt:lpstr>Candidate</vt:lpstr>
      <vt:lpstr>საკრებულო!Print_Titles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2026-04-27T11:53:39Z</dcterms:modified>
</cp:coreProperties>
</file>