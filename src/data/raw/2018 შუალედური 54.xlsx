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ropbox\My projects\NDI\election_portal\datasets\cec_data\processing\შედეგები\"/>
    </mc:Choice>
  </mc:AlternateContent>
  <xr:revisionPtr revIDLastSave="0" documentId="13_ncr:1_{91288EA8-E394-4732-AB57-84CA720099B5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maJoritaeuli" sheetId="3" r:id="rId1"/>
  </sheets>
  <definedNames>
    <definedName name="_xlnm.Print_Titles" localSheetId="0">maJoritaeuli!$A:$B,maJoritaeuli!$1:$1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2" i="3"/>
  <c r="V2" i="3"/>
  <c r="V3" i="3"/>
  <c r="Q3" i="3" s="1"/>
  <c r="V4" i="3"/>
  <c r="K4" i="3" s="1"/>
  <c r="V5" i="3"/>
  <c r="W62" i="3" s="1"/>
  <c r="V6" i="3"/>
  <c r="V7" i="3"/>
  <c r="M7" i="3" s="1"/>
  <c r="V8" i="3"/>
  <c r="V9" i="3"/>
  <c r="U9" i="3" s="1"/>
  <c r="V10" i="3"/>
  <c r="K10" i="3" s="1"/>
  <c r="V11" i="3"/>
  <c r="M11" i="3" s="1"/>
  <c r="V12" i="3"/>
  <c r="V13" i="3"/>
  <c r="U13" i="3" s="1"/>
  <c r="V14" i="3"/>
  <c r="V15" i="3"/>
  <c r="Q15" i="3" s="1"/>
  <c r="V16" i="3"/>
  <c r="V17" i="3"/>
  <c r="M17" i="3" s="1"/>
  <c r="V18" i="3"/>
  <c r="V19" i="3"/>
  <c r="Q19" i="3" s="1"/>
  <c r="V20" i="3"/>
  <c r="S20" i="3" s="1"/>
  <c r="V21" i="3"/>
  <c r="V22" i="3"/>
  <c r="V23" i="3"/>
  <c r="M23" i="3" s="1"/>
  <c r="V24" i="3"/>
  <c r="V25" i="3"/>
  <c r="U25" i="3" s="1"/>
  <c r="V26" i="3"/>
  <c r="O26" i="3" s="1"/>
  <c r="V27" i="3"/>
  <c r="M27" i="3" s="1"/>
  <c r="V28" i="3"/>
  <c r="V29" i="3"/>
  <c r="U29" i="3" s="1"/>
  <c r="V30" i="3"/>
  <c r="V31" i="3"/>
  <c r="Q31" i="3" s="1"/>
  <c r="V32" i="3"/>
  <c r="V33" i="3"/>
  <c r="M33" i="3" s="1"/>
  <c r="V34" i="3"/>
  <c r="V35" i="3"/>
  <c r="Q35" i="3" s="1"/>
  <c r="V36" i="3"/>
  <c r="S36" i="3" s="1"/>
  <c r="V37" i="3"/>
  <c r="V38" i="3"/>
  <c r="V39" i="3"/>
  <c r="M39" i="3" s="1"/>
  <c r="V40" i="3"/>
  <c r="O40" i="3" s="1"/>
  <c r="V41" i="3"/>
  <c r="U41" i="3" s="1"/>
  <c r="V42" i="3"/>
  <c r="V43" i="3"/>
  <c r="K43" i="3" s="1"/>
  <c r="V44" i="3"/>
  <c r="V45" i="3"/>
  <c r="U45" i="3" s="1"/>
  <c r="V46" i="3"/>
  <c r="V47" i="3"/>
  <c r="Q47" i="3" s="1"/>
  <c r="V48" i="3"/>
  <c r="O48" i="3" s="1"/>
  <c r="V49" i="3"/>
  <c r="M49" i="3" s="1"/>
  <c r="V50" i="3"/>
  <c r="V51" i="3"/>
  <c r="K51" i="3" s="1"/>
  <c r="V52" i="3"/>
  <c r="S52" i="3" s="1"/>
  <c r="V53" i="3"/>
  <c r="K53" i="3" s="1"/>
  <c r="V54" i="3"/>
  <c r="V55" i="3"/>
  <c r="M55" i="3" s="1"/>
  <c r="V56" i="3"/>
  <c r="O56" i="3" s="1"/>
  <c r="V57" i="3"/>
  <c r="U57" i="3" s="1"/>
  <c r="V58" i="3"/>
  <c r="V59" i="3"/>
  <c r="K59" i="3" s="1"/>
  <c r="V60" i="3"/>
  <c r="V61" i="3"/>
  <c r="U61" i="3" s="1"/>
  <c r="C62" i="3"/>
  <c r="D62" i="3"/>
  <c r="E62" i="3"/>
  <c r="F62" i="3"/>
  <c r="G62" i="3"/>
  <c r="I62" i="3"/>
  <c r="J62" i="3"/>
  <c r="K31" i="3" l="1"/>
  <c r="Q39" i="3"/>
  <c r="U33" i="3"/>
  <c r="K57" i="3"/>
  <c r="K41" i="3"/>
  <c r="K20" i="3"/>
  <c r="M59" i="3"/>
  <c r="O10" i="3"/>
  <c r="Q7" i="3"/>
  <c r="S4" i="3"/>
  <c r="K36" i="3"/>
  <c r="K15" i="3"/>
  <c r="M51" i="3"/>
  <c r="M19" i="3"/>
  <c r="Q55" i="3"/>
  <c r="U49" i="3"/>
  <c r="K49" i="3"/>
  <c r="M43" i="3"/>
  <c r="K61" i="3"/>
  <c r="K45" i="3"/>
  <c r="K26" i="3"/>
  <c r="M35" i="3"/>
  <c r="M3" i="3"/>
  <c r="Q23" i="3"/>
  <c r="U17" i="3"/>
  <c r="H62" i="3"/>
  <c r="U60" i="3"/>
  <c r="M60" i="3"/>
  <c r="Q60" i="3"/>
  <c r="S58" i="3"/>
  <c r="Q58" i="3"/>
  <c r="U58" i="3"/>
  <c r="M58" i="3"/>
  <c r="U56" i="3"/>
  <c r="M56" i="3"/>
  <c r="Q56" i="3"/>
  <c r="S54" i="3"/>
  <c r="Q54" i="3"/>
  <c r="U54" i="3"/>
  <c r="M54" i="3"/>
  <c r="U52" i="3"/>
  <c r="M52" i="3"/>
  <c r="Q52" i="3"/>
  <c r="S50" i="3"/>
  <c r="Q50" i="3"/>
  <c r="U50" i="3"/>
  <c r="M50" i="3"/>
  <c r="U48" i="3"/>
  <c r="M48" i="3"/>
  <c r="Q48" i="3"/>
  <c r="S46" i="3"/>
  <c r="Q46" i="3"/>
  <c r="U46" i="3"/>
  <c r="M46" i="3"/>
  <c r="U44" i="3"/>
  <c r="M44" i="3"/>
  <c r="Q44" i="3"/>
  <c r="S42" i="3"/>
  <c r="Q42" i="3"/>
  <c r="U42" i="3"/>
  <c r="M42" i="3"/>
  <c r="U40" i="3"/>
  <c r="M40" i="3"/>
  <c r="Q40" i="3"/>
  <c r="S38" i="3"/>
  <c r="Q38" i="3"/>
  <c r="U38" i="3"/>
  <c r="M38" i="3"/>
  <c r="O36" i="3"/>
  <c r="U36" i="3"/>
  <c r="M36" i="3"/>
  <c r="Q36" i="3"/>
  <c r="S34" i="3"/>
  <c r="Q34" i="3"/>
  <c r="U34" i="3"/>
  <c r="M34" i="3"/>
  <c r="O32" i="3"/>
  <c r="U32" i="3"/>
  <c r="M32" i="3"/>
  <c r="Q32" i="3"/>
  <c r="S30" i="3"/>
  <c r="Q30" i="3"/>
  <c r="U30" i="3"/>
  <c r="M30" i="3"/>
  <c r="O28" i="3"/>
  <c r="U28" i="3"/>
  <c r="M28" i="3"/>
  <c r="Q28" i="3"/>
  <c r="S26" i="3"/>
  <c r="Q26" i="3"/>
  <c r="U26" i="3"/>
  <c r="M26" i="3"/>
  <c r="O24" i="3"/>
  <c r="U24" i="3"/>
  <c r="M24" i="3"/>
  <c r="Q24" i="3"/>
  <c r="S22" i="3"/>
  <c r="Q22" i="3"/>
  <c r="U22" i="3"/>
  <c r="M22" i="3"/>
  <c r="O20" i="3"/>
  <c r="U20" i="3"/>
  <c r="M20" i="3"/>
  <c r="Q20" i="3"/>
  <c r="S18" i="3"/>
  <c r="Q18" i="3"/>
  <c r="U18" i="3"/>
  <c r="M18" i="3"/>
  <c r="O16" i="3"/>
  <c r="U16" i="3"/>
  <c r="M16" i="3"/>
  <c r="Q16" i="3"/>
  <c r="S14" i="3"/>
  <c r="Q14" i="3"/>
  <c r="U14" i="3"/>
  <c r="M14" i="3"/>
  <c r="O12" i="3"/>
  <c r="U12" i="3"/>
  <c r="M12" i="3"/>
  <c r="Q12" i="3"/>
  <c r="S10" i="3"/>
  <c r="Q10" i="3"/>
  <c r="U10" i="3"/>
  <c r="M10" i="3"/>
  <c r="O8" i="3"/>
  <c r="U8" i="3"/>
  <c r="M8" i="3"/>
  <c r="Q8" i="3"/>
  <c r="S6" i="3"/>
  <c r="Q6" i="3"/>
  <c r="U6" i="3"/>
  <c r="M6" i="3"/>
  <c r="O4" i="3"/>
  <c r="U4" i="3"/>
  <c r="M4" i="3"/>
  <c r="Q4" i="3"/>
  <c r="U2" i="3"/>
  <c r="S2" i="3"/>
  <c r="O2" i="3"/>
  <c r="K60" i="3"/>
  <c r="K56" i="3"/>
  <c r="K52" i="3"/>
  <c r="K48" i="3"/>
  <c r="K44" i="3"/>
  <c r="K40" i="3"/>
  <c r="K35" i="3"/>
  <c r="K30" i="3"/>
  <c r="K24" i="3"/>
  <c r="K19" i="3"/>
  <c r="K14" i="3"/>
  <c r="K8" i="3"/>
  <c r="K3" i="3"/>
  <c r="M57" i="3"/>
  <c r="M41" i="3"/>
  <c r="M25" i="3"/>
  <c r="M9" i="3"/>
  <c r="O54" i="3"/>
  <c r="O46" i="3"/>
  <c r="O38" i="3"/>
  <c r="O22" i="3"/>
  <c r="O6" i="3"/>
  <c r="Q51" i="3"/>
  <c r="S48" i="3"/>
  <c r="S32" i="3"/>
  <c r="S16" i="3"/>
  <c r="K2" i="3"/>
  <c r="K55" i="3"/>
  <c r="K47" i="3"/>
  <c r="K39" i="3"/>
  <c r="K34" i="3"/>
  <c r="K28" i="3"/>
  <c r="K23" i="3"/>
  <c r="K18" i="3"/>
  <c r="K12" i="3"/>
  <c r="K7" i="3"/>
  <c r="M2" i="3"/>
  <c r="M47" i="3"/>
  <c r="M31" i="3"/>
  <c r="M15" i="3"/>
  <c r="O60" i="3"/>
  <c r="O52" i="3"/>
  <c r="O44" i="3"/>
  <c r="O34" i="3"/>
  <c r="O18" i="3"/>
  <c r="Q2" i="3"/>
  <c r="S60" i="3"/>
  <c r="S44" i="3"/>
  <c r="S28" i="3"/>
  <c r="S12" i="3"/>
  <c r="Q61" i="3"/>
  <c r="O61" i="3"/>
  <c r="S61" i="3"/>
  <c r="U59" i="3"/>
  <c r="S59" i="3"/>
  <c r="O59" i="3"/>
  <c r="Q57" i="3"/>
  <c r="O57" i="3"/>
  <c r="S57" i="3"/>
  <c r="U55" i="3"/>
  <c r="S55" i="3"/>
  <c r="O55" i="3"/>
  <c r="Q53" i="3"/>
  <c r="O53" i="3"/>
  <c r="S53" i="3"/>
  <c r="U51" i="3"/>
  <c r="S51" i="3"/>
  <c r="O51" i="3"/>
  <c r="Q49" i="3"/>
  <c r="O49" i="3"/>
  <c r="S49" i="3"/>
  <c r="U47" i="3"/>
  <c r="S47" i="3"/>
  <c r="O47" i="3"/>
  <c r="Q45" i="3"/>
  <c r="O45" i="3"/>
  <c r="S45" i="3"/>
  <c r="U43" i="3"/>
  <c r="S43" i="3"/>
  <c r="O43" i="3"/>
  <c r="Q41" i="3"/>
  <c r="O41" i="3"/>
  <c r="S41" i="3"/>
  <c r="U39" i="3"/>
  <c r="S39" i="3"/>
  <c r="O39" i="3"/>
  <c r="Q37" i="3"/>
  <c r="O37" i="3"/>
  <c r="S37" i="3"/>
  <c r="K37" i="3"/>
  <c r="U35" i="3"/>
  <c r="S35" i="3"/>
  <c r="O35" i="3"/>
  <c r="Q33" i="3"/>
  <c r="O33" i="3"/>
  <c r="S33" i="3"/>
  <c r="K33" i="3"/>
  <c r="U31" i="3"/>
  <c r="S31" i="3"/>
  <c r="O31" i="3"/>
  <c r="Q29" i="3"/>
  <c r="O29" i="3"/>
  <c r="S29" i="3"/>
  <c r="K29" i="3"/>
  <c r="U27" i="3"/>
  <c r="S27" i="3"/>
  <c r="O27" i="3"/>
  <c r="Q25" i="3"/>
  <c r="O25" i="3"/>
  <c r="S25" i="3"/>
  <c r="K25" i="3"/>
  <c r="U23" i="3"/>
  <c r="S23" i="3"/>
  <c r="O23" i="3"/>
  <c r="Q21" i="3"/>
  <c r="O21" i="3"/>
  <c r="S21" i="3"/>
  <c r="K21" i="3"/>
  <c r="U19" i="3"/>
  <c r="S19" i="3"/>
  <c r="O19" i="3"/>
  <c r="Q17" i="3"/>
  <c r="O17" i="3"/>
  <c r="S17" i="3"/>
  <c r="K17" i="3"/>
  <c r="U15" i="3"/>
  <c r="S15" i="3"/>
  <c r="O15" i="3"/>
  <c r="Q13" i="3"/>
  <c r="O13" i="3"/>
  <c r="S13" i="3"/>
  <c r="K13" i="3"/>
  <c r="U11" i="3"/>
  <c r="S11" i="3"/>
  <c r="O11" i="3"/>
  <c r="Q9" i="3"/>
  <c r="O9" i="3"/>
  <c r="S9" i="3"/>
  <c r="K9" i="3"/>
  <c r="U7" i="3"/>
  <c r="S7" i="3"/>
  <c r="O7" i="3"/>
  <c r="Q5" i="3"/>
  <c r="O5" i="3"/>
  <c r="S5" i="3"/>
  <c r="K5" i="3"/>
  <c r="U3" i="3"/>
  <c r="S3" i="3"/>
  <c r="O3" i="3"/>
  <c r="K58" i="3"/>
  <c r="K54" i="3"/>
  <c r="K50" i="3"/>
  <c r="K46" i="3"/>
  <c r="K42" i="3"/>
  <c r="K38" i="3"/>
  <c r="K32" i="3"/>
  <c r="K27" i="3"/>
  <c r="K22" i="3"/>
  <c r="K16" i="3"/>
  <c r="K11" i="3"/>
  <c r="K6" i="3"/>
  <c r="M61" i="3"/>
  <c r="M53" i="3"/>
  <c r="M45" i="3"/>
  <c r="M37" i="3"/>
  <c r="M29" i="3"/>
  <c r="M21" i="3"/>
  <c r="M13" i="3"/>
  <c r="M5" i="3"/>
  <c r="O58" i="3"/>
  <c r="O50" i="3"/>
  <c r="O42" i="3"/>
  <c r="O30" i="3"/>
  <c r="O14" i="3"/>
  <c r="Q59" i="3"/>
  <c r="Q43" i="3"/>
  <c r="Q27" i="3"/>
  <c r="Q11" i="3"/>
  <c r="S56" i="3"/>
  <c r="S40" i="3"/>
  <c r="S24" i="3"/>
  <c r="S8" i="3"/>
  <c r="U53" i="3"/>
  <c r="U37" i="3"/>
  <c r="U21" i="3"/>
  <c r="U5" i="3"/>
  <c r="V62" i="3" s="1"/>
  <c r="R62" i="3" l="1"/>
  <c r="S62" i="3" s="1"/>
  <c r="N62" i="3"/>
  <c r="O62" i="3" s="1"/>
  <c r="P62" i="3"/>
  <c r="Q62" i="3" s="1"/>
  <c r="L62" i="3"/>
  <c r="M62" i="3" s="1"/>
  <c r="T62" i="3"/>
  <c r="U62" i="3" s="1"/>
  <c r="K62" i="3"/>
</calcChain>
</file>

<file path=xl/sharedStrings.xml><?xml version="1.0" encoding="utf-8"?>
<sst xmlns="http://schemas.openxmlformats.org/spreadsheetml/2006/main" count="144" uniqueCount="80">
  <si>
    <t>უბანი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</si>
  <si>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</si>
  <si>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</si>
  <si>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</si>
  <si>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</si>
  <si>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მონაწილე</t>
  </si>
  <si>
    <t>ბათილი ბიულეტენები</t>
  </si>
  <si>
    <t>სულ</t>
  </si>
  <si>
    <t>ნამდვილი ბიულეტენები</t>
  </si>
  <si>
    <t>%</t>
  </si>
  <si>
    <t xml:space="preserve">მიღებული ბიულეტენები </t>
  </si>
  <si>
    <t>ოლქი</t>
  </si>
  <si>
    <t>53-ვანი</t>
  </si>
  <si>
    <t>55-ხონი</t>
  </si>
  <si>
    <t>54.53.01</t>
  </si>
  <si>
    <t>54.53.02</t>
  </si>
  <si>
    <t>54.53.03</t>
  </si>
  <si>
    <t>54.53.04</t>
  </si>
  <si>
    <t>54.53.05</t>
  </si>
  <si>
    <t>54.53.06</t>
  </si>
  <si>
    <t>54.53.07</t>
  </si>
  <si>
    <t>54.53.08</t>
  </si>
  <si>
    <t>54.53.09</t>
  </si>
  <si>
    <t>54.53.10</t>
  </si>
  <si>
    <t>54.53.11</t>
  </si>
  <si>
    <t>54.53.12</t>
  </si>
  <si>
    <t>54.53.13</t>
  </si>
  <si>
    <t>54.53.14</t>
  </si>
  <si>
    <t>54.53.15</t>
  </si>
  <si>
    <t>54.53.16</t>
  </si>
  <si>
    <t>54.53.17</t>
  </si>
  <si>
    <t>54.53.18</t>
  </si>
  <si>
    <t>54.53.19</t>
  </si>
  <si>
    <t>54.53.20</t>
  </si>
  <si>
    <t>54.53.21</t>
  </si>
  <si>
    <t>54.53.22</t>
  </si>
  <si>
    <t>54.53.23</t>
  </si>
  <si>
    <t>54.53.24</t>
  </si>
  <si>
    <t>54.53.25</t>
  </si>
  <si>
    <t>54.53.26</t>
  </si>
  <si>
    <t>54.53.27</t>
  </si>
  <si>
    <t>54.53.28</t>
  </si>
  <si>
    <t>54.53.29</t>
  </si>
  <si>
    <t>54.53.30</t>
  </si>
  <si>
    <t>54.53.31</t>
  </si>
  <si>
    <t>54.55.01</t>
  </si>
  <si>
    <t>54.55.02</t>
  </si>
  <si>
    <t>54.55.03</t>
  </si>
  <si>
    <t>54.55.04</t>
  </si>
  <si>
    <t>54.55.05</t>
  </si>
  <si>
    <t>54.55.06</t>
  </si>
  <si>
    <t>54.55.07</t>
  </si>
  <si>
    <t>54.55.08</t>
  </si>
  <si>
    <t>54.55.09</t>
  </si>
  <si>
    <t>54.55.10</t>
  </si>
  <si>
    <t>54.55.11</t>
  </si>
  <si>
    <t>54.55.12</t>
  </si>
  <si>
    <t>54.55.13</t>
  </si>
  <si>
    <t>54.55.14</t>
  </si>
  <si>
    <t>54.55.15</t>
  </si>
  <si>
    <t>54.55.16</t>
  </si>
  <si>
    <t>54.55.17</t>
  </si>
  <si>
    <t>54.55.18</t>
  </si>
  <si>
    <t>54.55.19</t>
  </si>
  <si>
    <t>54.55.20</t>
  </si>
  <si>
    <t>54.55.21</t>
  </si>
  <si>
    <t>54.55.22</t>
  </si>
  <si>
    <t>54.55.23</t>
  </si>
  <si>
    <t>54.55.24</t>
  </si>
  <si>
    <t>54.55.25</t>
  </si>
  <si>
    <t>54.55.26</t>
  </si>
  <si>
    <t>54.55.27</t>
  </si>
  <si>
    <t>54.55.28</t>
  </si>
  <si>
    <t>54.55.29</t>
  </si>
  <si>
    <t>2 გიორგი უგულავა</t>
  </si>
  <si>
    <t>17  გიორგი ლილუაშვილი</t>
  </si>
  <si>
    <t>21 ზურაბ ქართველიშვილი</t>
  </si>
  <si>
    <t>23 მამუკა ტუსკაძე</t>
  </si>
  <si>
    <t>41 გივი ჭიჭინაძე</t>
  </si>
  <si>
    <t>42 ვასილ კოპალიანი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</si>
</sst>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b/>
      <sz val="9"/>
      <color theme="1"/>
      <name val="Sylfaen"/>
      <family val="1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/>
    <xf numFmtId="0" fontId="4" fillId="2" borderId="1" xfId="0" applyFont="1" applyFill="1" applyBorder="1" applyAlignment="1" applyProtection="1">
      <alignment vertical="center" wrapText="1"/>
      <protection locked="0"/>
    </xf>
    <xf numFmtId="3" fontId="4" fillId="0" borderId="0" xfId="0" applyNumberFormat="1" applyFont="1" applyFill="1" applyProtection="1">
      <protection locked="0"/>
    </xf>
    <xf numFmtId="49" fontId="3" fillId="0" borderId="1" xfId="0" applyNumberFormat="1" applyFont="1" applyFill="1" applyBorder="1" applyProtection="1"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3" fontId="3" fillId="0" borderId="1" xfId="0" applyNumberFormat="1" applyFont="1" applyFill="1" applyBorder="1" applyProtection="1">
      <protection locked="0"/>
    </xf>
    <xf numFmtId="10" fontId="3" fillId="0" borderId="1" xfId="1" applyNumberFormat="1" applyFont="1" applyFill="1" applyBorder="1" applyProtection="1">
      <protection locked="0"/>
    </xf>
    <xf numFmtId="0" fontId="4" fillId="0" borderId="1" xfId="0" applyFont="1" applyFill="1" applyBorder="1" applyAlignment="1" applyProtection="1">
      <alignment horizontal="center"/>
      <protection locked="0"/>
    </xf>
    <xf numFmtId="3" fontId="4" fillId="0" borderId="1" xfId="0" applyNumberFormat="1" applyFont="1" applyFill="1" applyBorder="1" applyProtection="1"/>
    <xf numFmtId="3" fontId="4" fillId="0" borderId="1" xfId="0" applyNumberFormat="1" applyFont="1" applyFill="1" applyBorder="1" applyProtection="1">
      <protection locked="0"/>
    </xf>
    <xf numFmtId="10" fontId="4" fillId="0" borderId="1" xfId="1" applyNumberFormat="1" applyFont="1" applyFill="1" applyBorder="1" applyProtection="1"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9" fontId="2" fillId="3" borderId="2" xfId="1" applyFont="1" applyFill="1" applyBorder="1" applyAlignment="1" applyProtection="1">
      <alignment vertical="center" wrapText="1"/>
      <protection locked="0"/>
    </xf>
    <xf numFmtId="0" fontId="2" fillId="2" borderId="1" xfId="0" applyFont="1" applyFill="1" applyBorder="1" applyAlignment="1" applyProtection="1">
      <alignment vertical="center" wrapText="1"/>
    </xf>
  </cellXfs>
  <cellStyles count="2">
    <cellStyle name="პროცენტი" xfId="1" builtinId="5"/>
    <cellStyle name="ჩვეულებრივი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3"/>
  <sheetViews>
    <sheetView tabSelected="1" topLeftCell="H1" workbookViewId="0">
      <pane ySplit="1" topLeftCell="A2" activePane="bottomLeft" state="frozen"/>
      <selection pane="bottomLeft" activeCell="X1" sqref="X1:X1048576"/>
    </sheetView>
  </sheetViews>
  <sheetFormatPr defaultColWidth="9.109375" defaultRowHeight="14.4" x14ac:dyDescent="0.3"/>
  <cols>
    <col min="1" max="1" width="9.109375" style="3" bestFit="1" customWidth="1"/>
    <col min="2" max="2" width="9" style="3" bestFit="1" customWidth="1"/>
    <col min="3" max="3" width="16.44140625" style="4" customWidth="1"/>
    <col min="4" max="4" width="15.88671875" style="1" customWidth="1"/>
    <col min="5" max="5" width="9.5546875" style="1" bestFit="1" customWidth="1"/>
    <col min="6" max="6" width="9.88671875" style="1" customWidth="1"/>
    <col min="7" max="7" width="10.33203125" style="1" bestFit="1" customWidth="1"/>
    <col min="8" max="8" width="10.33203125" style="1" customWidth="1"/>
    <col min="9" max="9" width="13.6640625" style="1" customWidth="1"/>
    <col min="10" max="10" width="12.44140625" style="1" customWidth="1"/>
    <col min="11" max="11" width="9.109375" style="1" bestFit="1" customWidth="1"/>
    <col min="12" max="12" width="17" style="1" customWidth="1"/>
    <col min="13" max="13" width="7.88671875" style="1" bestFit="1" customWidth="1"/>
    <col min="14" max="14" width="20.109375" style="1" customWidth="1"/>
    <col min="15" max="15" width="7.88671875" style="1" bestFit="1" customWidth="1"/>
    <col min="16" max="16" width="11.5546875" style="1" customWidth="1"/>
    <col min="17" max="17" width="7.88671875" style="1" bestFit="1" customWidth="1"/>
    <col min="18" max="18" width="11.44140625" style="1" customWidth="1"/>
    <col min="19" max="19" width="9.109375" style="1" bestFit="1" customWidth="1"/>
    <col min="20" max="20" width="12.88671875" style="1" customWidth="1"/>
    <col min="21" max="21" width="7.88671875" style="1" bestFit="1" customWidth="1"/>
    <col min="22" max="23" width="13.5546875" style="1" customWidth="1"/>
    <col min="24" max="16384" width="9.109375" style="1"/>
  </cols>
  <sheetData>
    <row r="1" spans="1:23" ht="30" customHeight="1" x14ac:dyDescent="0.3">
      <c r="A1" s="16" t="s">
        <v>11</v>
      </c>
      <c r="B1" s="16" t="s">
        <v>0</v>
      </c>
      <c r="C1" s="18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7" t="s">
        <v>9</v>
      </c>
      <c r="I1" s="16" t="s">
        <v>10</v>
      </c>
      <c r="J1" s="5" t="s">
        <v>74</v>
      </c>
      <c r="K1" s="15" t="s">
        <v>9</v>
      </c>
      <c r="L1" s="5" t="s">
        <v>75</v>
      </c>
      <c r="M1" s="15" t="s">
        <v>9</v>
      </c>
      <c r="N1" s="5" t="s">
        <v>76</v>
      </c>
      <c r="O1" s="15" t="s">
        <v>9</v>
      </c>
      <c r="P1" s="5" t="s">
        <v>77</v>
      </c>
      <c r="Q1" s="15" t="s">
        <v>9</v>
      </c>
      <c r="R1" s="5" t="s">
        <v>78</v>
      </c>
      <c r="S1" s="15" t="s">
        <v>9</v>
      </c>
      <c r="T1" s="5" t="s">
        <v>79</v>
      </c>
      <c r="U1" s="15" t="s">
        <v>9</v>
      </c>
      <c r="V1" s="16" t="s">
        <v>8</v>
      </c>
      <c r="W1" s="16" t="s">
        <v>6</v>
      </c>
    </row>
    <row r="2" spans="1:23" x14ac:dyDescent="0.3">
      <c r="A2" s="7" t="s">
        <v>12</v>
      </c>
      <c r="B2" s="8" t="s">
        <v>14</v>
      </c>
      <c r="C2" s="9">
        <v>1339</v>
      </c>
      <c r="D2" s="9">
        <v>1</v>
      </c>
      <c r="E2" s="9">
        <v>277</v>
      </c>
      <c r="F2" s="9">
        <v>568</v>
      </c>
      <c r="G2" s="9">
        <v>691</v>
      </c>
      <c r="H2" s="10">
        <f t="shared" ref="H2:H33" si="0">G2/C2</f>
        <v>0.5160567587752054</v>
      </c>
      <c r="I2" s="9">
        <v>1200</v>
      </c>
      <c r="J2" s="9">
        <v>174</v>
      </c>
      <c r="K2" s="10">
        <f>J2/V2</f>
        <v>0.25816023738872401</v>
      </c>
      <c r="L2" s="9">
        <v>2</v>
      </c>
      <c r="M2" s="10">
        <f>L2/V2</f>
        <v>2.967359050445104E-3</v>
      </c>
      <c r="N2" s="9">
        <v>1</v>
      </c>
      <c r="O2" s="10">
        <f>N2/V2</f>
        <v>1.483679525222552E-3</v>
      </c>
      <c r="P2" s="9">
        <v>2</v>
      </c>
      <c r="Q2" s="10">
        <f>P2/V2</f>
        <v>2.967359050445104E-3</v>
      </c>
      <c r="R2" s="9">
        <v>492</v>
      </c>
      <c r="S2" s="10">
        <f>R2/V2</f>
        <v>0.72997032640949555</v>
      </c>
      <c r="T2" s="9">
        <v>3</v>
      </c>
      <c r="U2" s="10">
        <f>T2/V2</f>
        <v>4.4510385756676559E-3</v>
      </c>
      <c r="V2" s="9">
        <f>J2+L2+N2+P2+R2+T2</f>
        <v>674</v>
      </c>
      <c r="W2" s="9">
        <v>17</v>
      </c>
    </row>
    <row r="3" spans="1:23" x14ac:dyDescent="0.3">
      <c r="A3" s="7" t="s">
        <v>12</v>
      </c>
      <c r="B3" s="8" t="s">
        <v>15</v>
      </c>
      <c r="C3" s="9">
        <v>1316</v>
      </c>
      <c r="D3" s="9">
        <v>4</v>
      </c>
      <c r="E3" s="9">
        <v>269</v>
      </c>
      <c r="F3" s="9">
        <v>593</v>
      </c>
      <c r="G3" s="9">
        <v>650</v>
      </c>
      <c r="H3" s="10">
        <f t="shared" si="0"/>
        <v>0.4939209726443769</v>
      </c>
      <c r="I3" s="9">
        <v>1200</v>
      </c>
      <c r="J3" s="9">
        <v>226</v>
      </c>
      <c r="K3" s="10">
        <f t="shared" ref="K3:K62" si="1">J3/V3</f>
        <v>0.35534591194968551</v>
      </c>
      <c r="L3" s="9">
        <v>2</v>
      </c>
      <c r="M3" s="10">
        <f t="shared" ref="M3:M62" si="2">L3/V3</f>
        <v>3.1446540880503146E-3</v>
      </c>
      <c r="N3" s="9">
        <v>1</v>
      </c>
      <c r="O3" s="10">
        <f t="shared" ref="O3:O62" si="3">N3/V3</f>
        <v>1.5723270440251573E-3</v>
      </c>
      <c r="P3" s="9">
        <v>3</v>
      </c>
      <c r="Q3" s="10">
        <f t="shared" ref="Q3:Q62" si="4">P3/V3</f>
        <v>4.7169811320754715E-3</v>
      </c>
      <c r="R3" s="9">
        <v>399</v>
      </c>
      <c r="S3" s="10">
        <f t="shared" ref="S3:S62" si="5">R3/V3</f>
        <v>0.62735849056603776</v>
      </c>
      <c r="T3" s="9">
        <v>5</v>
      </c>
      <c r="U3" s="10">
        <f t="shared" ref="U3:U62" si="6">T3/V3</f>
        <v>7.8616352201257862E-3</v>
      </c>
      <c r="V3" s="9">
        <f t="shared" ref="V3:V61" si="7">J3+L3+N3+P3+R3+T3</f>
        <v>636</v>
      </c>
      <c r="W3" s="9">
        <v>14</v>
      </c>
    </row>
    <row r="4" spans="1:23" x14ac:dyDescent="0.3">
      <c r="A4" s="7" t="s">
        <v>12</v>
      </c>
      <c r="B4" s="8" t="s">
        <v>16</v>
      </c>
      <c r="C4" s="9">
        <v>1271</v>
      </c>
      <c r="D4" s="9">
        <v>5</v>
      </c>
      <c r="E4" s="9">
        <v>287</v>
      </c>
      <c r="F4" s="9">
        <v>493</v>
      </c>
      <c r="G4" s="9">
        <v>610</v>
      </c>
      <c r="H4" s="10">
        <f t="shared" si="0"/>
        <v>0.47993705743509046</v>
      </c>
      <c r="I4" s="9">
        <v>1100</v>
      </c>
      <c r="J4" s="9">
        <v>255</v>
      </c>
      <c r="K4" s="10">
        <f t="shared" si="1"/>
        <v>0.43814432989690721</v>
      </c>
      <c r="L4" s="9">
        <v>5</v>
      </c>
      <c r="M4" s="10">
        <f t="shared" si="2"/>
        <v>8.5910652920962206E-3</v>
      </c>
      <c r="N4" s="9"/>
      <c r="O4" s="10">
        <f t="shared" si="3"/>
        <v>0</v>
      </c>
      <c r="P4" s="9">
        <v>2</v>
      </c>
      <c r="Q4" s="10">
        <f t="shared" si="4"/>
        <v>3.4364261168384879E-3</v>
      </c>
      <c r="R4" s="9">
        <v>316</v>
      </c>
      <c r="S4" s="10">
        <f t="shared" si="5"/>
        <v>0.54295532646048106</v>
      </c>
      <c r="T4" s="9">
        <v>4</v>
      </c>
      <c r="U4" s="10">
        <f t="shared" si="6"/>
        <v>6.8728522336769758E-3</v>
      </c>
      <c r="V4" s="9">
        <f t="shared" si="7"/>
        <v>582</v>
      </c>
      <c r="W4" s="9">
        <v>27</v>
      </c>
    </row>
    <row r="5" spans="1:23" x14ac:dyDescent="0.3">
      <c r="A5" s="7" t="s">
        <v>12</v>
      </c>
      <c r="B5" s="8" t="s">
        <v>17</v>
      </c>
      <c r="C5" s="9">
        <v>951</v>
      </c>
      <c r="D5" s="9">
        <v>0</v>
      </c>
      <c r="E5" s="9">
        <v>220</v>
      </c>
      <c r="F5" s="9">
        <v>429</v>
      </c>
      <c r="G5" s="9">
        <v>537</v>
      </c>
      <c r="H5" s="10">
        <f t="shared" si="0"/>
        <v>0.56466876971608837</v>
      </c>
      <c r="I5" s="9">
        <v>850</v>
      </c>
      <c r="J5" s="9">
        <v>214</v>
      </c>
      <c r="K5" s="10">
        <f t="shared" si="1"/>
        <v>0.4091778202676864</v>
      </c>
      <c r="L5" s="9">
        <v>2</v>
      </c>
      <c r="M5" s="10">
        <f t="shared" si="2"/>
        <v>3.8240917782026767E-3</v>
      </c>
      <c r="N5" s="9"/>
      <c r="O5" s="10">
        <f t="shared" si="3"/>
        <v>0</v>
      </c>
      <c r="P5" s="9">
        <v>22</v>
      </c>
      <c r="Q5" s="10">
        <f t="shared" si="4"/>
        <v>4.2065009560229447E-2</v>
      </c>
      <c r="R5" s="9">
        <v>282</v>
      </c>
      <c r="S5" s="10">
        <f t="shared" si="5"/>
        <v>0.53919694072657742</v>
      </c>
      <c r="T5" s="9">
        <v>3</v>
      </c>
      <c r="U5" s="10">
        <f t="shared" si="6"/>
        <v>5.7361376673040155E-3</v>
      </c>
      <c r="V5" s="9">
        <f t="shared" si="7"/>
        <v>523</v>
      </c>
      <c r="W5" s="9">
        <v>14</v>
      </c>
    </row>
    <row r="6" spans="1:23" x14ac:dyDescent="0.3">
      <c r="A6" s="7" t="s">
        <v>12</v>
      </c>
      <c r="B6" s="8" t="s">
        <v>18</v>
      </c>
      <c r="C6" s="9">
        <v>495</v>
      </c>
      <c r="D6" s="9">
        <v>0</v>
      </c>
      <c r="E6" s="9">
        <v>103</v>
      </c>
      <c r="F6" s="9">
        <v>233</v>
      </c>
      <c r="G6" s="9">
        <v>313</v>
      </c>
      <c r="H6" s="10">
        <f t="shared" si="0"/>
        <v>0.63232323232323229</v>
      </c>
      <c r="I6" s="9">
        <v>500</v>
      </c>
      <c r="J6" s="9">
        <v>111</v>
      </c>
      <c r="K6" s="10">
        <f t="shared" si="1"/>
        <v>0.36156351791530944</v>
      </c>
      <c r="L6" s="9">
        <v>1</v>
      </c>
      <c r="M6" s="10">
        <f t="shared" si="2"/>
        <v>3.2573289902280132E-3</v>
      </c>
      <c r="N6" s="9">
        <v>1</v>
      </c>
      <c r="O6" s="10">
        <f t="shared" si="3"/>
        <v>3.2573289902280132E-3</v>
      </c>
      <c r="P6" s="9">
        <v>9</v>
      </c>
      <c r="Q6" s="10">
        <f t="shared" si="4"/>
        <v>2.9315960912052116E-2</v>
      </c>
      <c r="R6" s="9">
        <v>183</v>
      </c>
      <c r="S6" s="10">
        <f t="shared" si="5"/>
        <v>0.59609120521172643</v>
      </c>
      <c r="T6" s="9">
        <v>2</v>
      </c>
      <c r="U6" s="10">
        <f t="shared" si="6"/>
        <v>6.5146579804560263E-3</v>
      </c>
      <c r="V6" s="9">
        <f t="shared" si="7"/>
        <v>307</v>
      </c>
      <c r="W6" s="9">
        <v>6</v>
      </c>
    </row>
    <row r="7" spans="1:23" x14ac:dyDescent="0.3">
      <c r="A7" s="7" t="s">
        <v>12</v>
      </c>
      <c r="B7" s="8" t="s">
        <v>19</v>
      </c>
      <c r="C7" s="9">
        <v>1157</v>
      </c>
      <c r="D7" s="9">
        <v>2</v>
      </c>
      <c r="E7" s="9">
        <v>210</v>
      </c>
      <c r="F7" s="9">
        <v>445</v>
      </c>
      <c r="G7" s="9">
        <v>565</v>
      </c>
      <c r="H7" s="10">
        <f t="shared" si="0"/>
        <v>0.48833189282627487</v>
      </c>
      <c r="I7" s="9">
        <v>1050</v>
      </c>
      <c r="J7" s="9">
        <v>242</v>
      </c>
      <c r="K7" s="10">
        <f t="shared" si="1"/>
        <v>0.43920145190562615</v>
      </c>
      <c r="L7" s="9"/>
      <c r="M7" s="10">
        <f t="shared" si="2"/>
        <v>0</v>
      </c>
      <c r="N7" s="9">
        <v>1</v>
      </c>
      <c r="O7" s="10">
        <f t="shared" si="3"/>
        <v>1.8148820326678765E-3</v>
      </c>
      <c r="P7" s="9">
        <v>12</v>
      </c>
      <c r="Q7" s="10">
        <f t="shared" si="4"/>
        <v>2.1778584392014518E-2</v>
      </c>
      <c r="R7" s="9">
        <v>289</v>
      </c>
      <c r="S7" s="10">
        <f t="shared" si="5"/>
        <v>0.5245009074410163</v>
      </c>
      <c r="T7" s="9">
        <v>7</v>
      </c>
      <c r="U7" s="10">
        <f t="shared" si="6"/>
        <v>1.2704174228675136E-2</v>
      </c>
      <c r="V7" s="9">
        <f t="shared" si="7"/>
        <v>551</v>
      </c>
      <c r="W7" s="9">
        <v>14</v>
      </c>
    </row>
    <row r="8" spans="1:23" x14ac:dyDescent="0.3">
      <c r="A8" s="7" t="s">
        <v>12</v>
      </c>
      <c r="B8" s="8" t="s">
        <v>20</v>
      </c>
      <c r="C8" s="9">
        <v>338</v>
      </c>
      <c r="D8" s="9">
        <v>5</v>
      </c>
      <c r="E8" s="9">
        <v>107</v>
      </c>
      <c r="F8" s="9">
        <v>213</v>
      </c>
      <c r="G8" s="9">
        <v>230</v>
      </c>
      <c r="H8" s="10">
        <f t="shared" si="0"/>
        <v>0.68047337278106512</v>
      </c>
      <c r="I8" s="9">
        <v>350</v>
      </c>
      <c r="J8" s="9">
        <v>119</v>
      </c>
      <c r="K8" s="10">
        <f t="shared" si="1"/>
        <v>0.52888888888888885</v>
      </c>
      <c r="L8" s="9">
        <v>1</v>
      </c>
      <c r="M8" s="10">
        <f t="shared" si="2"/>
        <v>4.4444444444444444E-3</v>
      </c>
      <c r="N8" s="9"/>
      <c r="O8" s="10">
        <f t="shared" si="3"/>
        <v>0</v>
      </c>
      <c r="P8" s="9">
        <v>1</v>
      </c>
      <c r="Q8" s="10">
        <f t="shared" si="4"/>
        <v>4.4444444444444444E-3</v>
      </c>
      <c r="R8" s="9">
        <v>102</v>
      </c>
      <c r="S8" s="10">
        <f t="shared" si="5"/>
        <v>0.45333333333333331</v>
      </c>
      <c r="T8" s="9">
        <v>2</v>
      </c>
      <c r="U8" s="10">
        <f t="shared" si="6"/>
        <v>8.8888888888888889E-3</v>
      </c>
      <c r="V8" s="9">
        <f t="shared" si="7"/>
        <v>225</v>
      </c>
      <c r="W8" s="9">
        <v>5</v>
      </c>
    </row>
    <row r="9" spans="1:23" x14ac:dyDescent="0.3">
      <c r="A9" s="7" t="s">
        <v>12</v>
      </c>
      <c r="B9" s="8" t="s">
        <v>21</v>
      </c>
      <c r="C9" s="9">
        <v>1096</v>
      </c>
      <c r="D9" s="9">
        <v>0</v>
      </c>
      <c r="E9" s="9">
        <v>297</v>
      </c>
      <c r="F9" s="9">
        <v>511</v>
      </c>
      <c r="G9" s="9">
        <v>608</v>
      </c>
      <c r="H9" s="10">
        <f t="shared" si="0"/>
        <v>0.55474452554744524</v>
      </c>
      <c r="I9" s="9">
        <v>1000</v>
      </c>
      <c r="J9" s="9">
        <v>230</v>
      </c>
      <c r="K9" s="10">
        <f t="shared" si="1"/>
        <v>0.39249146757679182</v>
      </c>
      <c r="L9" s="9">
        <v>3</v>
      </c>
      <c r="M9" s="10">
        <f t="shared" si="2"/>
        <v>5.1194539249146756E-3</v>
      </c>
      <c r="N9" s="9">
        <v>2</v>
      </c>
      <c r="O9" s="10">
        <f t="shared" si="3"/>
        <v>3.4129692832764505E-3</v>
      </c>
      <c r="P9" s="9">
        <v>1</v>
      </c>
      <c r="Q9" s="10">
        <f t="shared" si="4"/>
        <v>1.7064846416382253E-3</v>
      </c>
      <c r="R9" s="9">
        <v>345</v>
      </c>
      <c r="S9" s="10">
        <f t="shared" si="5"/>
        <v>0.5887372013651877</v>
      </c>
      <c r="T9" s="9">
        <v>5</v>
      </c>
      <c r="U9" s="10">
        <f t="shared" si="6"/>
        <v>8.5324232081911266E-3</v>
      </c>
      <c r="V9" s="9">
        <f t="shared" si="7"/>
        <v>586</v>
      </c>
      <c r="W9" s="9">
        <v>20</v>
      </c>
    </row>
    <row r="10" spans="1:23" x14ac:dyDescent="0.3">
      <c r="A10" s="7" t="s">
        <v>12</v>
      </c>
      <c r="B10" s="8" t="s">
        <v>22</v>
      </c>
      <c r="C10" s="9">
        <v>1137</v>
      </c>
      <c r="D10" s="9">
        <v>0</v>
      </c>
      <c r="E10" s="9">
        <v>225</v>
      </c>
      <c r="F10" s="9">
        <v>461</v>
      </c>
      <c r="G10" s="9">
        <v>568</v>
      </c>
      <c r="H10" s="10">
        <f t="shared" si="0"/>
        <v>0.49956024626209322</v>
      </c>
      <c r="I10" s="9">
        <v>1000</v>
      </c>
      <c r="J10" s="9">
        <v>159</v>
      </c>
      <c r="K10" s="10">
        <f t="shared" si="1"/>
        <v>0.28392857142857142</v>
      </c>
      <c r="L10" s="9">
        <v>1</v>
      </c>
      <c r="M10" s="10">
        <f t="shared" si="2"/>
        <v>1.7857142857142857E-3</v>
      </c>
      <c r="N10" s="9">
        <v>1</v>
      </c>
      <c r="O10" s="10">
        <f t="shared" si="3"/>
        <v>1.7857142857142857E-3</v>
      </c>
      <c r="P10" s="9">
        <v>17</v>
      </c>
      <c r="Q10" s="10">
        <f t="shared" si="4"/>
        <v>3.0357142857142857E-2</v>
      </c>
      <c r="R10" s="9">
        <v>370</v>
      </c>
      <c r="S10" s="10">
        <f t="shared" si="5"/>
        <v>0.6607142857142857</v>
      </c>
      <c r="T10" s="9">
        <v>12</v>
      </c>
      <c r="U10" s="10">
        <f t="shared" si="6"/>
        <v>2.1428571428571429E-2</v>
      </c>
      <c r="V10" s="9">
        <f t="shared" si="7"/>
        <v>560</v>
      </c>
      <c r="W10" s="9">
        <v>8</v>
      </c>
    </row>
    <row r="11" spans="1:23" x14ac:dyDescent="0.3">
      <c r="A11" s="7" t="s">
        <v>12</v>
      </c>
      <c r="B11" s="8" t="s">
        <v>23</v>
      </c>
      <c r="C11" s="9">
        <v>1153</v>
      </c>
      <c r="D11" s="9">
        <v>1</v>
      </c>
      <c r="E11" s="9">
        <v>273</v>
      </c>
      <c r="F11" s="9">
        <v>651</v>
      </c>
      <c r="G11" s="9">
        <v>761</v>
      </c>
      <c r="H11" s="10">
        <f t="shared" si="0"/>
        <v>0.66001734605377271</v>
      </c>
      <c r="I11" s="9">
        <v>1050</v>
      </c>
      <c r="J11" s="9">
        <v>393</v>
      </c>
      <c r="K11" s="10">
        <f t="shared" si="1"/>
        <v>0.54132231404958675</v>
      </c>
      <c r="L11" s="9">
        <v>4</v>
      </c>
      <c r="M11" s="10">
        <f t="shared" si="2"/>
        <v>5.5096418732782371E-3</v>
      </c>
      <c r="N11" s="9">
        <v>1</v>
      </c>
      <c r="O11" s="10">
        <f t="shared" si="3"/>
        <v>1.3774104683195593E-3</v>
      </c>
      <c r="P11" s="9">
        <v>1</v>
      </c>
      <c r="Q11" s="10">
        <f t="shared" si="4"/>
        <v>1.3774104683195593E-3</v>
      </c>
      <c r="R11" s="9">
        <v>322</v>
      </c>
      <c r="S11" s="10">
        <f t="shared" si="5"/>
        <v>0.44352617079889806</v>
      </c>
      <c r="T11" s="9">
        <v>5</v>
      </c>
      <c r="U11" s="10">
        <f t="shared" si="6"/>
        <v>6.8870523415977963E-3</v>
      </c>
      <c r="V11" s="9">
        <f t="shared" si="7"/>
        <v>726</v>
      </c>
      <c r="W11" s="9">
        <v>35</v>
      </c>
    </row>
    <row r="12" spans="1:23" x14ac:dyDescent="0.3">
      <c r="A12" s="7" t="s">
        <v>12</v>
      </c>
      <c r="B12" s="8" t="s">
        <v>24</v>
      </c>
      <c r="C12" s="9">
        <v>989</v>
      </c>
      <c r="D12" s="9">
        <v>0</v>
      </c>
      <c r="E12" s="9">
        <v>167</v>
      </c>
      <c r="F12" s="9">
        <v>323</v>
      </c>
      <c r="G12" s="9">
        <v>412</v>
      </c>
      <c r="H12" s="10">
        <f t="shared" si="0"/>
        <v>0.416582406471183</v>
      </c>
      <c r="I12" s="9">
        <v>850</v>
      </c>
      <c r="J12" s="9">
        <v>152</v>
      </c>
      <c r="K12" s="10">
        <f t="shared" si="1"/>
        <v>0.37530864197530867</v>
      </c>
      <c r="L12" s="9">
        <v>4</v>
      </c>
      <c r="M12" s="10">
        <f t="shared" si="2"/>
        <v>9.876543209876543E-3</v>
      </c>
      <c r="N12" s="9">
        <v>1</v>
      </c>
      <c r="O12" s="10">
        <f t="shared" si="3"/>
        <v>2.4691358024691358E-3</v>
      </c>
      <c r="P12" s="9">
        <v>4</v>
      </c>
      <c r="Q12" s="10">
        <f t="shared" si="4"/>
        <v>9.876543209876543E-3</v>
      </c>
      <c r="R12" s="9">
        <v>243</v>
      </c>
      <c r="S12" s="10">
        <f t="shared" si="5"/>
        <v>0.6</v>
      </c>
      <c r="T12" s="9">
        <v>1</v>
      </c>
      <c r="U12" s="10">
        <f t="shared" si="6"/>
        <v>2.4691358024691358E-3</v>
      </c>
      <c r="V12" s="9">
        <f t="shared" si="7"/>
        <v>405</v>
      </c>
      <c r="W12" s="9">
        <v>7</v>
      </c>
    </row>
    <row r="13" spans="1:23" x14ac:dyDescent="0.3">
      <c r="A13" s="7" t="s">
        <v>12</v>
      </c>
      <c r="B13" s="8" t="s">
        <v>25</v>
      </c>
      <c r="C13" s="9">
        <v>614</v>
      </c>
      <c r="D13" s="9">
        <v>2</v>
      </c>
      <c r="E13" s="9">
        <v>175</v>
      </c>
      <c r="F13" s="9">
        <v>295</v>
      </c>
      <c r="G13" s="9">
        <v>373</v>
      </c>
      <c r="H13" s="10">
        <f t="shared" si="0"/>
        <v>0.60749185667752448</v>
      </c>
      <c r="I13" s="9">
        <v>550</v>
      </c>
      <c r="J13" s="9">
        <v>113</v>
      </c>
      <c r="K13" s="10">
        <f t="shared" si="1"/>
        <v>0.31301939058171746</v>
      </c>
      <c r="L13" s="9">
        <v>3</v>
      </c>
      <c r="M13" s="10">
        <f t="shared" si="2"/>
        <v>8.3102493074792248E-3</v>
      </c>
      <c r="N13" s="9">
        <v>2</v>
      </c>
      <c r="O13" s="10">
        <f t="shared" si="3"/>
        <v>5.5401662049861496E-3</v>
      </c>
      <c r="P13" s="9">
        <v>1</v>
      </c>
      <c r="Q13" s="10">
        <f t="shared" si="4"/>
        <v>2.7700831024930748E-3</v>
      </c>
      <c r="R13" s="9">
        <v>241</v>
      </c>
      <c r="S13" s="10">
        <f t="shared" si="5"/>
        <v>0.66759002770083098</v>
      </c>
      <c r="T13" s="9">
        <v>1</v>
      </c>
      <c r="U13" s="10">
        <f t="shared" si="6"/>
        <v>2.7700831024930748E-3</v>
      </c>
      <c r="V13" s="9">
        <f t="shared" si="7"/>
        <v>361</v>
      </c>
      <c r="W13" s="9">
        <v>12</v>
      </c>
    </row>
    <row r="14" spans="1:23" x14ac:dyDescent="0.3">
      <c r="A14" s="7" t="s">
        <v>12</v>
      </c>
      <c r="B14" s="8" t="s">
        <v>26</v>
      </c>
      <c r="C14" s="9">
        <v>769</v>
      </c>
      <c r="D14" s="9">
        <v>2</v>
      </c>
      <c r="E14" s="9">
        <v>183</v>
      </c>
      <c r="F14" s="9">
        <v>383</v>
      </c>
      <c r="G14" s="9">
        <v>460</v>
      </c>
      <c r="H14" s="10">
        <f t="shared" si="0"/>
        <v>0.5981794538361509</v>
      </c>
      <c r="I14" s="9">
        <v>700</v>
      </c>
      <c r="J14" s="9">
        <v>233</v>
      </c>
      <c r="K14" s="10">
        <f t="shared" si="1"/>
        <v>0.53075170842824604</v>
      </c>
      <c r="L14" s="9">
        <v>3</v>
      </c>
      <c r="M14" s="10">
        <f t="shared" si="2"/>
        <v>6.8337129840546698E-3</v>
      </c>
      <c r="N14" s="9">
        <v>1</v>
      </c>
      <c r="O14" s="10">
        <f t="shared" si="3"/>
        <v>2.2779043280182231E-3</v>
      </c>
      <c r="P14" s="9">
        <v>2</v>
      </c>
      <c r="Q14" s="10">
        <f t="shared" si="4"/>
        <v>4.5558086560364463E-3</v>
      </c>
      <c r="R14" s="9">
        <v>199</v>
      </c>
      <c r="S14" s="10">
        <f t="shared" si="5"/>
        <v>0.45330296127562641</v>
      </c>
      <c r="T14" s="9">
        <v>1</v>
      </c>
      <c r="U14" s="10">
        <f t="shared" si="6"/>
        <v>2.2779043280182231E-3</v>
      </c>
      <c r="V14" s="9">
        <f t="shared" si="7"/>
        <v>439</v>
      </c>
      <c r="W14" s="9">
        <v>20</v>
      </c>
    </row>
    <row r="15" spans="1:23" x14ac:dyDescent="0.3">
      <c r="A15" s="7" t="s">
        <v>12</v>
      </c>
      <c r="B15" s="8" t="s">
        <v>27</v>
      </c>
      <c r="C15" s="9">
        <v>729</v>
      </c>
      <c r="D15" s="9">
        <v>2</v>
      </c>
      <c r="E15" s="9">
        <v>185</v>
      </c>
      <c r="F15" s="9">
        <v>369</v>
      </c>
      <c r="G15" s="9">
        <v>430</v>
      </c>
      <c r="H15" s="10">
        <f t="shared" si="0"/>
        <v>0.58984910836762694</v>
      </c>
      <c r="I15" s="9">
        <v>650</v>
      </c>
      <c r="J15" s="9">
        <v>166</v>
      </c>
      <c r="K15" s="10">
        <f t="shared" si="1"/>
        <v>0.39808153477218228</v>
      </c>
      <c r="L15" s="9">
        <v>3</v>
      </c>
      <c r="M15" s="10">
        <f t="shared" si="2"/>
        <v>7.1942446043165471E-3</v>
      </c>
      <c r="N15" s="9">
        <v>1</v>
      </c>
      <c r="O15" s="10">
        <f t="shared" si="3"/>
        <v>2.3980815347721821E-3</v>
      </c>
      <c r="P15" s="9">
        <v>10</v>
      </c>
      <c r="Q15" s="10">
        <f t="shared" si="4"/>
        <v>2.3980815347721823E-2</v>
      </c>
      <c r="R15" s="9">
        <v>236</v>
      </c>
      <c r="S15" s="10">
        <f t="shared" si="5"/>
        <v>0.56594724220623505</v>
      </c>
      <c r="T15" s="9">
        <v>1</v>
      </c>
      <c r="U15" s="10">
        <f t="shared" si="6"/>
        <v>2.3980815347721821E-3</v>
      </c>
      <c r="V15" s="9">
        <f t="shared" si="7"/>
        <v>417</v>
      </c>
      <c r="W15" s="9">
        <v>13</v>
      </c>
    </row>
    <row r="16" spans="1:23" x14ac:dyDescent="0.3">
      <c r="A16" s="7" t="s">
        <v>12</v>
      </c>
      <c r="B16" s="8" t="s">
        <v>28</v>
      </c>
      <c r="C16" s="9">
        <v>715</v>
      </c>
      <c r="D16" s="9">
        <v>0</v>
      </c>
      <c r="E16" s="9">
        <v>185</v>
      </c>
      <c r="F16" s="9">
        <v>288</v>
      </c>
      <c r="G16" s="9">
        <v>314</v>
      </c>
      <c r="H16" s="10">
        <f t="shared" si="0"/>
        <v>0.43916083916083914</v>
      </c>
      <c r="I16" s="9">
        <v>650</v>
      </c>
      <c r="J16" s="9">
        <v>123</v>
      </c>
      <c r="K16" s="10">
        <f t="shared" si="1"/>
        <v>0.40065146579804561</v>
      </c>
      <c r="L16" s="9"/>
      <c r="M16" s="10">
        <f t="shared" si="2"/>
        <v>0</v>
      </c>
      <c r="N16" s="9"/>
      <c r="O16" s="10">
        <f t="shared" si="3"/>
        <v>0</v>
      </c>
      <c r="P16" s="9">
        <v>14</v>
      </c>
      <c r="Q16" s="10">
        <f t="shared" si="4"/>
        <v>4.5602605863192182E-2</v>
      </c>
      <c r="R16" s="9">
        <v>167</v>
      </c>
      <c r="S16" s="10">
        <f t="shared" si="5"/>
        <v>0.5439739413680782</v>
      </c>
      <c r="T16" s="9">
        <v>3</v>
      </c>
      <c r="U16" s="10">
        <f t="shared" si="6"/>
        <v>9.7719869706840382E-3</v>
      </c>
      <c r="V16" s="9">
        <f t="shared" si="7"/>
        <v>307</v>
      </c>
      <c r="W16" s="9">
        <v>6</v>
      </c>
    </row>
    <row r="17" spans="1:23" x14ac:dyDescent="0.3">
      <c r="A17" s="7" t="s">
        <v>12</v>
      </c>
      <c r="B17" s="8" t="s">
        <v>29</v>
      </c>
      <c r="C17" s="9">
        <v>786</v>
      </c>
      <c r="D17" s="9">
        <v>1</v>
      </c>
      <c r="E17" s="9">
        <v>200</v>
      </c>
      <c r="F17" s="9">
        <v>359</v>
      </c>
      <c r="G17" s="9">
        <v>398</v>
      </c>
      <c r="H17" s="10">
        <f t="shared" si="0"/>
        <v>0.50636132315521631</v>
      </c>
      <c r="I17" s="9">
        <v>700</v>
      </c>
      <c r="J17" s="9">
        <v>118</v>
      </c>
      <c r="K17" s="10">
        <f t="shared" si="1"/>
        <v>0.30256410256410254</v>
      </c>
      <c r="L17" s="9">
        <v>1</v>
      </c>
      <c r="M17" s="10">
        <f t="shared" si="2"/>
        <v>2.5641025641025641E-3</v>
      </c>
      <c r="N17" s="9">
        <v>1</v>
      </c>
      <c r="O17" s="10">
        <f t="shared" si="3"/>
        <v>2.5641025641025641E-3</v>
      </c>
      <c r="P17" s="9">
        <v>4</v>
      </c>
      <c r="Q17" s="10">
        <f t="shared" si="4"/>
        <v>1.0256410256410256E-2</v>
      </c>
      <c r="R17" s="9">
        <v>262</v>
      </c>
      <c r="S17" s="10">
        <f t="shared" si="5"/>
        <v>0.67179487179487174</v>
      </c>
      <c r="T17" s="9">
        <v>4</v>
      </c>
      <c r="U17" s="10">
        <f t="shared" si="6"/>
        <v>1.0256410256410256E-2</v>
      </c>
      <c r="V17" s="9">
        <f t="shared" si="7"/>
        <v>390</v>
      </c>
      <c r="W17" s="9">
        <v>7</v>
      </c>
    </row>
    <row r="18" spans="1:23" x14ac:dyDescent="0.3">
      <c r="A18" s="7" t="s">
        <v>12</v>
      </c>
      <c r="B18" s="8" t="s">
        <v>30</v>
      </c>
      <c r="C18" s="9">
        <v>683</v>
      </c>
      <c r="D18" s="9">
        <v>1</v>
      </c>
      <c r="E18" s="9">
        <v>237</v>
      </c>
      <c r="F18" s="9">
        <v>409</v>
      </c>
      <c r="G18" s="9">
        <v>439</v>
      </c>
      <c r="H18" s="10">
        <f t="shared" si="0"/>
        <v>0.64275256222547583</v>
      </c>
      <c r="I18" s="9">
        <v>600</v>
      </c>
      <c r="J18" s="9">
        <v>94</v>
      </c>
      <c r="K18" s="10">
        <f t="shared" si="1"/>
        <v>0.2160919540229885</v>
      </c>
      <c r="L18" s="9">
        <v>4</v>
      </c>
      <c r="M18" s="10">
        <f t="shared" si="2"/>
        <v>9.1954022988505746E-3</v>
      </c>
      <c r="N18" s="9"/>
      <c r="O18" s="10">
        <f t="shared" si="3"/>
        <v>0</v>
      </c>
      <c r="P18" s="9">
        <v>3</v>
      </c>
      <c r="Q18" s="10">
        <f t="shared" si="4"/>
        <v>6.8965517241379309E-3</v>
      </c>
      <c r="R18" s="9">
        <v>329</v>
      </c>
      <c r="S18" s="10">
        <f t="shared" si="5"/>
        <v>0.7563218390804598</v>
      </c>
      <c r="T18" s="9">
        <v>5</v>
      </c>
      <c r="U18" s="10">
        <f t="shared" si="6"/>
        <v>1.1494252873563218E-2</v>
      </c>
      <c r="V18" s="9">
        <f t="shared" si="7"/>
        <v>435</v>
      </c>
      <c r="W18" s="9">
        <v>4</v>
      </c>
    </row>
    <row r="19" spans="1:23" x14ac:dyDescent="0.3">
      <c r="A19" s="7" t="s">
        <v>12</v>
      </c>
      <c r="B19" s="8" t="s">
        <v>31</v>
      </c>
      <c r="C19" s="9">
        <v>585</v>
      </c>
      <c r="D19" s="9">
        <v>0</v>
      </c>
      <c r="E19" s="9">
        <v>161</v>
      </c>
      <c r="F19" s="9">
        <v>324</v>
      </c>
      <c r="G19" s="9">
        <v>352</v>
      </c>
      <c r="H19" s="10">
        <f t="shared" si="0"/>
        <v>0.60170940170940168</v>
      </c>
      <c r="I19" s="9">
        <v>550</v>
      </c>
      <c r="J19" s="9">
        <v>110</v>
      </c>
      <c r="K19" s="10">
        <f t="shared" si="1"/>
        <v>0.31976744186046513</v>
      </c>
      <c r="L19" s="9"/>
      <c r="M19" s="10">
        <f t="shared" si="2"/>
        <v>0</v>
      </c>
      <c r="N19" s="9">
        <v>1</v>
      </c>
      <c r="O19" s="10">
        <f t="shared" si="3"/>
        <v>2.9069767441860465E-3</v>
      </c>
      <c r="P19" s="9">
        <v>6</v>
      </c>
      <c r="Q19" s="10">
        <f t="shared" si="4"/>
        <v>1.7441860465116279E-2</v>
      </c>
      <c r="R19" s="9">
        <v>226</v>
      </c>
      <c r="S19" s="10">
        <f t="shared" si="5"/>
        <v>0.65697674418604646</v>
      </c>
      <c r="T19" s="9">
        <v>1</v>
      </c>
      <c r="U19" s="10">
        <f t="shared" si="6"/>
        <v>2.9069767441860465E-3</v>
      </c>
      <c r="V19" s="9">
        <f t="shared" si="7"/>
        <v>344</v>
      </c>
      <c r="W19" s="9">
        <v>8</v>
      </c>
    </row>
    <row r="20" spans="1:23" x14ac:dyDescent="0.3">
      <c r="A20" s="7" t="s">
        <v>12</v>
      </c>
      <c r="B20" s="8" t="s">
        <v>32</v>
      </c>
      <c r="C20" s="9">
        <v>644</v>
      </c>
      <c r="D20" s="9">
        <v>1</v>
      </c>
      <c r="E20" s="9">
        <v>194</v>
      </c>
      <c r="F20" s="9">
        <v>383</v>
      </c>
      <c r="G20" s="9">
        <v>410</v>
      </c>
      <c r="H20" s="10">
        <f t="shared" si="0"/>
        <v>0.63664596273291929</v>
      </c>
      <c r="I20" s="9">
        <v>600</v>
      </c>
      <c r="J20" s="9">
        <v>125</v>
      </c>
      <c r="K20" s="10">
        <f t="shared" si="1"/>
        <v>0.31328320802005011</v>
      </c>
      <c r="L20" s="9">
        <v>2</v>
      </c>
      <c r="M20" s="10">
        <f t="shared" si="2"/>
        <v>5.0125313283208017E-3</v>
      </c>
      <c r="N20" s="9">
        <v>1</v>
      </c>
      <c r="O20" s="10">
        <f t="shared" si="3"/>
        <v>2.5062656641604009E-3</v>
      </c>
      <c r="P20" s="9"/>
      <c r="Q20" s="10">
        <f t="shared" si="4"/>
        <v>0</v>
      </c>
      <c r="R20" s="9">
        <v>264</v>
      </c>
      <c r="S20" s="10">
        <f t="shared" si="5"/>
        <v>0.66165413533834583</v>
      </c>
      <c r="T20" s="9">
        <v>7</v>
      </c>
      <c r="U20" s="10">
        <f t="shared" si="6"/>
        <v>1.7543859649122806E-2</v>
      </c>
      <c r="V20" s="9">
        <f t="shared" si="7"/>
        <v>399</v>
      </c>
      <c r="W20" s="9">
        <v>11</v>
      </c>
    </row>
    <row r="21" spans="1:23" x14ac:dyDescent="0.3">
      <c r="A21" s="7" t="s">
        <v>12</v>
      </c>
      <c r="B21" s="8" t="s">
        <v>33</v>
      </c>
      <c r="C21" s="9">
        <v>719</v>
      </c>
      <c r="D21" s="9">
        <v>1</v>
      </c>
      <c r="E21" s="9">
        <v>201</v>
      </c>
      <c r="F21" s="9">
        <v>351</v>
      </c>
      <c r="G21" s="9">
        <v>428</v>
      </c>
      <c r="H21" s="10">
        <f t="shared" si="0"/>
        <v>0.59527121001390826</v>
      </c>
      <c r="I21" s="9">
        <v>650</v>
      </c>
      <c r="J21" s="9">
        <v>178</v>
      </c>
      <c r="K21" s="10">
        <f t="shared" si="1"/>
        <v>0.42685851318944845</v>
      </c>
      <c r="L21" s="9">
        <v>1</v>
      </c>
      <c r="M21" s="10">
        <f t="shared" si="2"/>
        <v>2.3980815347721821E-3</v>
      </c>
      <c r="N21" s="9">
        <v>1</v>
      </c>
      <c r="O21" s="10">
        <f t="shared" si="3"/>
        <v>2.3980815347721821E-3</v>
      </c>
      <c r="P21" s="9">
        <v>5</v>
      </c>
      <c r="Q21" s="10">
        <f t="shared" si="4"/>
        <v>1.1990407673860911E-2</v>
      </c>
      <c r="R21" s="9">
        <v>230</v>
      </c>
      <c r="S21" s="10">
        <f t="shared" si="5"/>
        <v>0.55155875299760193</v>
      </c>
      <c r="T21" s="9">
        <v>2</v>
      </c>
      <c r="U21" s="10">
        <f t="shared" si="6"/>
        <v>4.7961630695443642E-3</v>
      </c>
      <c r="V21" s="9">
        <f t="shared" si="7"/>
        <v>417</v>
      </c>
      <c r="W21" s="9">
        <v>11</v>
      </c>
    </row>
    <row r="22" spans="1:23" x14ac:dyDescent="0.3">
      <c r="A22" s="7" t="s">
        <v>12</v>
      </c>
      <c r="B22" s="8" t="s">
        <v>34</v>
      </c>
      <c r="C22" s="9">
        <v>678</v>
      </c>
      <c r="D22" s="9">
        <v>1</v>
      </c>
      <c r="E22" s="9">
        <v>198</v>
      </c>
      <c r="F22" s="9">
        <v>346</v>
      </c>
      <c r="G22" s="9">
        <v>396</v>
      </c>
      <c r="H22" s="10">
        <f t="shared" si="0"/>
        <v>0.58407079646017701</v>
      </c>
      <c r="I22" s="9">
        <v>600</v>
      </c>
      <c r="J22" s="9">
        <v>117</v>
      </c>
      <c r="K22" s="10">
        <f t="shared" si="1"/>
        <v>0.30389610389610389</v>
      </c>
      <c r="L22" s="9">
        <v>5</v>
      </c>
      <c r="M22" s="10">
        <f t="shared" si="2"/>
        <v>1.2987012987012988E-2</v>
      </c>
      <c r="N22" s="9">
        <v>1</v>
      </c>
      <c r="O22" s="10">
        <f t="shared" si="3"/>
        <v>2.5974025974025974E-3</v>
      </c>
      <c r="P22" s="9">
        <v>3</v>
      </c>
      <c r="Q22" s="10">
        <f t="shared" si="4"/>
        <v>7.7922077922077922E-3</v>
      </c>
      <c r="R22" s="9">
        <v>254</v>
      </c>
      <c r="S22" s="10">
        <f t="shared" si="5"/>
        <v>0.65974025974025974</v>
      </c>
      <c r="T22" s="9">
        <v>5</v>
      </c>
      <c r="U22" s="10">
        <f t="shared" si="6"/>
        <v>1.2987012987012988E-2</v>
      </c>
      <c r="V22" s="9">
        <f t="shared" si="7"/>
        <v>385</v>
      </c>
      <c r="W22" s="9">
        <v>10</v>
      </c>
    </row>
    <row r="23" spans="1:23" x14ac:dyDescent="0.3">
      <c r="A23" s="7" t="s">
        <v>12</v>
      </c>
      <c r="B23" s="8" t="s">
        <v>35</v>
      </c>
      <c r="C23" s="9">
        <v>1296</v>
      </c>
      <c r="D23" s="9">
        <v>2</v>
      </c>
      <c r="E23" s="9">
        <v>361</v>
      </c>
      <c r="F23" s="9">
        <v>741</v>
      </c>
      <c r="G23" s="9">
        <v>813</v>
      </c>
      <c r="H23" s="10">
        <f t="shared" si="0"/>
        <v>0.62731481481481477</v>
      </c>
      <c r="I23" s="9">
        <v>1200</v>
      </c>
      <c r="J23" s="9">
        <v>212</v>
      </c>
      <c r="K23" s="10">
        <f t="shared" si="1"/>
        <v>0.26700251889168763</v>
      </c>
      <c r="L23" s="9">
        <v>4</v>
      </c>
      <c r="M23" s="10">
        <f t="shared" si="2"/>
        <v>5.0377833753148613E-3</v>
      </c>
      <c r="N23" s="9">
        <v>9</v>
      </c>
      <c r="O23" s="10">
        <f t="shared" si="3"/>
        <v>1.1335012594458438E-2</v>
      </c>
      <c r="P23" s="9">
        <v>6</v>
      </c>
      <c r="Q23" s="10">
        <f t="shared" si="4"/>
        <v>7.556675062972292E-3</v>
      </c>
      <c r="R23" s="9">
        <v>557</v>
      </c>
      <c r="S23" s="10">
        <f t="shared" si="5"/>
        <v>0.70151133501259444</v>
      </c>
      <c r="T23" s="9">
        <v>6</v>
      </c>
      <c r="U23" s="10">
        <f t="shared" si="6"/>
        <v>7.556675062972292E-3</v>
      </c>
      <c r="V23" s="9">
        <f t="shared" si="7"/>
        <v>794</v>
      </c>
      <c r="W23" s="9">
        <v>19</v>
      </c>
    </row>
    <row r="24" spans="1:23" x14ac:dyDescent="0.3">
      <c r="A24" s="7" t="s">
        <v>12</v>
      </c>
      <c r="B24" s="8" t="s">
        <v>36</v>
      </c>
      <c r="C24" s="9">
        <v>803</v>
      </c>
      <c r="D24" s="9">
        <v>2</v>
      </c>
      <c r="E24" s="9">
        <v>195</v>
      </c>
      <c r="F24" s="9">
        <v>455</v>
      </c>
      <c r="G24" s="9">
        <v>518</v>
      </c>
      <c r="H24" s="10">
        <f t="shared" si="0"/>
        <v>0.64508094645080949</v>
      </c>
      <c r="I24" s="9">
        <v>750</v>
      </c>
      <c r="J24" s="9">
        <v>152</v>
      </c>
      <c r="K24" s="10">
        <f t="shared" si="1"/>
        <v>0.30039525691699603</v>
      </c>
      <c r="L24" s="9">
        <v>1</v>
      </c>
      <c r="M24" s="10">
        <f t="shared" si="2"/>
        <v>1.976284584980237E-3</v>
      </c>
      <c r="N24" s="9"/>
      <c r="O24" s="10">
        <f t="shared" si="3"/>
        <v>0</v>
      </c>
      <c r="P24" s="9">
        <v>6</v>
      </c>
      <c r="Q24" s="10">
        <f t="shared" si="4"/>
        <v>1.1857707509881422E-2</v>
      </c>
      <c r="R24" s="9">
        <v>341</v>
      </c>
      <c r="S24" s="10">
        <f t="shared" si="5"/>
        <v>0.67391304347826086</v>
      </c>
      <c r="T24" s="9">
        <v>6</v>
      </c>
      <c r="U24" s="10">
        <f t="shared" si="6"/>
        <v>1.1857707509881422E-2</v>
      </c>
      <c r="V24" s="9">
        <f t="shared" si="7"/>
        <v>506</v>
      </c>
      <c r="W24" s="9">
        <v>12</v>
      </c>
    </row>
    <row r="25" spans="1:23" x14ac:dyDescent="0.3">
      <c r="A25" s="7" t="s">
        <v>12</v>
      </c>
      <c r="B25" s="8" t="s">
        <v>37</v>
      </c>
      <c r="C25" s="9">
        <v>1073</v>
      </c>
      <c r="D25" s="9">
        <v>0</v>
      </c>
      <c r="E25" s="9">
        <v>265</v>
      </c>
      <c r="F25" s="9">
        <v>516</v>
      </c>
      <c r="G25" s="9">
        <v>632</v>
      </c>
      <c r="H25" s="10">
        <f t="shared" si="0"/>
        <v>0.58900279589934768</v>
      </c>
      <c r="I25" s="9">
        <v>950</v>
      </c>
      <c r="J25" s="9">
        <v>179</v>
      </c>
      <c r="K25" s="10">
        <f t="shared" si="1"/>
        <v>0.29248366013071897</v>
      </c>
      <c r="L25" s="9">
        <v>3</v>
      </c>
      <c r="M25" s="10">
        <f t="shared" si="2"/>
        <v>4.9019607843137254E-3</v>
      </c>
      <c r="N25" s="9">
        <v>2</v>
      </c>
      <c r="O25" s="10">
        <f t="shared" si="3"/>
        <v>3.2679738562091504E-3</v>
      </c>
      <c r="P25" s="9">
        <v>16</v>
      </c>
      <c r="Q25" s="10">
        <f t="shared" si="4"/>
        <v>2.6143790849673203E-2</v>
      </c>
      <c r="R25" s="9">
        <v>408</v>
      </c>
      <c r="S25" s="10">
        <f t="shared" si="5"/>
        <v>0.66666666666666663</v>
      </c>
      <c r="T25" s="9">
        <v>4</v>
      </c>
      <c r="U25" s="10">
        <f t="shared" si="6"/>
        <v>6.5359477124183009E-3</v>
      </c>
      <c r="V25" s="9">
        <f t="shared" si="7"/>
        <v>612</v>
      </c>
      <c r="W25" s="9">
        <v>19</v>
      </c>
    </row>
    <row r="26" spans="1:23" x14ac:dyDescent="0.3">
      <c r="A26" s="7" t="s">
        <v>12</v>
      </c>
      <c r="B26" s="8" t="s">
        <v>38</v>
      </c>
      <c r="C26" s="9">
        <v>470</v>
      </c>
      <c r="D26" s="9">
        <v>3</v>
      </c>
      <c r="E26" s="9">
        <v>145</v>
      </c>
      <c r="F26" s="9">
        <v>251</v>
      </c>
      <c r="G26" s="9">
        <v>304</v>
      </c>
      <c r="H26" s="10">
        <f t="shared" si="0"/>
        <v>0.64680851063829792</v>
      </c>
      <c r="I26" s="9">
        <v>450</v>
      </c>
      <c r="J26" s="9">
        <v>131</v>
      </c>
      <c r="K26" s="10">
        <f t="shared" si="1"/>
        <v>0.43234323432343236</v>
      </c>
      <c r="L26" s="9"/>
      <c r="M26" s="10">
        <f t="shared" si="2"/>
        <v>0</v>
      </c>
      <c r="N26" s="9"/>
      <c r="O26" s="10">
        <f t="shared" si="3"/>
        <v>0</v>
      </c>
      <c r="P26" s="9">
        <v>1</v>
      </c>
      <c r="Q26" s="10">
        <f t="shared" si="4"/>
        <v>3.3003300330033004E-3</v>
      </c>
      <c r="R26" s="9">
        <v>169</v>
      </c>
      <c r="S26" s="10">
        <f t="shared" si="5"/>
        <v>0.55775577557755773</v>
      </c>
      <c r="T26" s="9">
        <v>2</v>
      </c>
      <c r="U26" s="10">
        <f t="shared" si="6"/>
        <v>6.6006600660066007E-3</v>
      </c>
      <c r="V26" s="9">
        <f t="shared" si="7"/>
        <v>303</v>
      </c>
      <c r="W26" s="9">
        <v>1</v>
      </c>
    </row>
    <row r="27" spans="1:23" x14ac:dyDescent="0.3">
      <c r="A27" s="7" t="s">
        <v>12</v>
      </c>
      <c r="B27" s="8" t="s">
        <v>39</v>
      </c>
      <c r="C27" s="9">
        <v>338</v>
      </c>
      <c r="D27" s="9">
        <v>1</v>
      </c>
      <c r="E27" s="9">
        <v>83</v>
      </c>
      <c r="F27" s="9">
        <v>170</v>
      </c>
      <c r="G27" s="9">
        <v>214</v>
      </c>
      <c r="H27" s="10">
        <f t="shared" si="0"/>
        <v>0.63313609467455623</v>
      </c>
      <c r="I27" s="9">
        <v>350</v>
      </c>
      <c r="J27" s="9">
        <v>95</v>
      </c>
      <c r="K27" s="10">
        <f t="shared" si="1"/>
        <v>0.45023696682464454</v>
      </c>
      <c r="L27" s="9"/>
      <c r="M27" s="10">
        <f t="shared" si="2"/>
        <v>0</v>
      </c>
      <c r="N27" s="9"/>
      <c r="O27" s="10">
        <f t="shared" si="3"/>
        <v>0</v>
      </c>
      <c r="P27" s="9">
        <v>9</v>
      </c>
      <c r="Q27" s="10">
        <f t="shared" si="4"/>
        <v>4.2654028436018961E-2</v>
      </c>
      <c r="R27" s="9">
        <v>105</v>
      </c>
      <c r="S27" s="10">
        <f t="shared" si="5"/>
        <v>0.49763033175355448</v>
      </c>
      <c r="T27" s="9">
        <v>2</v>
      </c>
      <c r="U27" s="10">
        <f t="shared" si="6"/>
        <v>9.4786729857819912E-3</v>
      </c>
      <c r="V27" s="9">
        <f t="shared" si="7"/>
        <v>211</v>
      </c>
      <c r="W27" s="9">
        <v>3</v>
      </c>
    </row>
    <row r="28" spans="1:23" x14ac:dyDescent="0.3">
      <c r="A28" s="7" t="s">
        <v>12</v>
      </c>
      <c r="B28" s="8" t="s">
        <v>40</v>
      </c>
      <c r="C28" s="9">
        <v>380</v>
      </c>
      <c r="D28" s="9">
        <v>1</v>
      </c>
      <c r="E28" s="9">
        <v>132</v>
      </c>
      <c r="F28" s="9">
        <v>201</v>
      </c>
      <c r="G28" s="9">
        <v>221</v>
      </c>
      <c r="H28" s="10">
        <f t="shared" si="0"/>
        <v>0.58157894736842108</v>
      </c>
      <c r="I28" s="9">
        <v>350</v>
      </c>
      <c r="J28" s="9">
        <v>90</v>
      </c>
      <c r="K28" s="10">
        <f t="shared" si="1"/>
        <v>0.42253521126760563</v>
      </c>
      <c r="L28" s="9">
        <v>2</v>
      </c>
      <c r="M28" s="10">
        <f t="shared" si="2"/>
        <v>9.3896713615023476E-3</v>
      </c>
      <c r="N28" s="9"/>
      <c r="O28" s="10">
        <f t="shared" si="3"/>
        <v>0</v>
      </c>
      <c r="P28" s="9">
        <v>1</v>
      </c>
      <c r="Q28" s="10">
        <f t="shared" si="4"/>
        <v>4.6948356807511738E-3</v>
      </c>
      <c r="R28" s="9">
        <v>118</v>
      </c>
      <c r="S28" s="10">
        <f t="shared" si="5"/>
        <v>0.5539906103286385</v>
      </c>
      <c r="T28" s="9">
        <v>2</v>
      </c>
      <c r="U28" s="10">
        <f t="shared" si="6"/>
        <v>9.3896713615023476E-3</v>
      </c>
      <c r="V28" s="9">
        <f t="shared" si="7"/>
        <v>213</v>
      </c>
      <c r="W28" s="9">
        <v>8</v>
      </c>
    </row>
    <row r="29" spans="1:23" x14ac:dyDescent="0.3">
      <c r="A29" s="7" t="s">
        <v>12</v>
      </c>
      <c r="B29" s="8" t="s">
        <v>41</v>
      </c>
      <c r="C29" s="9">
        <v>703</v>
      </c>
      <c r="D29" s="9">
        <v>3</v>
      </c>
      <c r="E29" s="9">
        <v>165</v>
      </c>
      <c r="F29" s="9">
        <v>338</v>
      </c>
      <c r="G29" s="9">
        <v>424</v>
      </c>
      <c r="H29" s="10">
        <f t="shared" si="0"/>
        <v>0.60312944523470835</v>
      </c>
      <c r="I29" s="9">
        <v>650</v>
      </c>
      <c r="J29" s="9">
        <v>96</v>
      </c>
      <c r="K29" s="10">
        <f t="shared" si="1"/>
        <v>0.24</v>
      </c>
      <c r="L29" s="9">
        <v>1</v>
      </c>
      <c r="M29" s="10">
        <f t="shared" si="2"/>
        <v>2.5000000000000001E-3</v>
      </c>
      <c r="N29" s="9"/>
      <c r="O29" s="10">
        <f t="shared" si="3"/>
        <v>0</v>
      </c>
      <c r="P29" s="9">
        <v>27</v>
      </c>
      <c r="Q29" s="10">
        <f t="shared" si="4"/>
        <v>6.7500000000000004E-2</v>
      </c>
      <c r="R29" s="9">
        <v>272</v>
      </c>
      <c r="S29" s="10">
        <f t="shared" si="5"/>
        <v>0.68</v>
      </c>
      <c r="T29" s="9">
        <v>4</v>
      </c>
      <c r="U29" s="10">
        <f t="shared" si="6"/>
        <v>0.01</v>
      </c>
      <c r="V29" s="9">
        <f t="shared" si="7"/>
        <v>400</v>
      </c>
      <c r="W29" s="9">
        <v>24</v>
      </c>
    </row>
    <row r="30" spans="1:23" x14ac:dyDescent="0.3">
      <c r="A30" s="7" t="s">
        <v>12</v>
      </c>
      <c r="B30" s="8" t="s">
        <v>42</v>
      </c>
      <c r="C30" s="9">
        <v>742</v>
      </c>
      <c r="D30" s="9">
        <v>0</v>
      </c>
      <c r="E30" s="9">
        <v>130</v>
      </c>
      <c r="F30" s="9">
        <v>295</v>
      </c>
      <c r="G30" s="9">
        <v>343</v>
      </c>
      <c r="H30" s="10">
        <f t="shared" si="0"/>
        <v>0.46226415094339623</v>
      </c>
      <c r="I30" s="9">
        <v>650</v>
      </c>
      <c r="J30" s="9">
        <v>127</v>
      </c>
      <c r="K30" s="10">
        <f t="shared" si="1"/>
        <v>0.39440993788819878</v>
      </c>
      <c r="L30" s="9">
        <v>9</v>
      </c>
      <c r="M30" s="10">
        <f t="shared" si="2"/>
        <v>2.7950310559006212E-2</v>
      </c>
      <c r="N30" s="9"/>
      <c r="O30" s="10">
        <f t="shared" si="3"/>
        <v>0</v>
      </c>
      <c r="P30" s="9">
        <v>8</v>
      </c>
      <c r="Q30" s="10">
        <f t="shared" si="4"/>
        <v>2.4844720496894408E-2</v>
      </c>
      <c r="R30" s="9">
        <v>178</v>
      </c>
      <c r="S30" s="10">
        <f t="shared" si="5"/>
        <v>0.55279503105590067</v>
      </c>
      <c r="T30" s="9"/>
      <c r="U30" s="10">
        <f t="shared" si="6"/>
        <v>0</v>
      </c>
      <c r="V30" s="9">
        <f t="shared" si="7"/>
        <v>322</v>
      </c>
      <c r="W30" s="9">
        <v>21</v>
      </c>
    </row>
    <row r="31" spans="1:23" x14ac:dyDescent="0.3">
      <c r="A31" s="7" t="s">
        <v>12</v>
      </c>
      <c r="B31" s="8" t="s">
        <v>43</v>
      </c>
      <c r="C31" s="9">
        <v>749</v>
      </c>
      <c r="D31" s="9">
        <v>3</v>
      </c>
      <c r="E31" s="9">
        <v>199</v>
      </c>
      <c r="F31" s="9">
        <v>424</v>
      </c>
      <c r="G31" s="9">
        <v>495</v>
      </c>
      <c r="H31" s="10">
        <f t="shared" si="0"/>
        <v>0.66088117489986653</v>
      </c>
      <c r="I31" s="9">
        <v>650</v>
      </c>
      <c r="J31" s="9">
        <v>200</v>
      </c>
      <c r="K31" s="10">
        <f t="shared" si="1"/>
        <v>0.41580041580041582</v>
      </c>
      <c r="L31" s="9">
        <v>2</v>
      </c>
      <c r="M31" s="10">
        <f t="shared" si="2"/>
        <v>4.1580041580041582E-3</v>
      </c>
      <c r="N31" s="9">
        <v>4</v>
      </c>
      <c r="O31" s="10">
        <f t="shared" si="3"/>
        <v>8.3160083160083165E-3</v>
      </c>
      <c r="P31" s="9">
        <v>5</v>
      </c>
      <c r="Q31" s="10">
        <f t="shared" si="4"/>
        <v>1.0395010395010396E-2</v>
      </c>
      <c r="R31" s="9">
        <v>263</v>
      </c>
      <c r="S31" s="10">
        <f t="shared" si="5"/>
        <v>0.54677754677754675</v>
      </c>
      <c r="T31" s="9">
        <v>7</v>
      </c>
      <c r="U31" s="10">
        <f t="shared" si="6"/>
        <v>1.4553014553014554E-2</v>
      </c>
      <c r="V31" s="9">
        <f t="shared" si="7"/>
        <v>481</v>
      </c>
      <c r="W31" s="9">
        <v>10</v>
      </c>
    </row>
    <row r="32" spans="1:23" x14ac:dyDescent="0.3">
      <c r="A32" s="7" t="s">
        <v>12</v>
      </c>
      <c r="B32" s="8" t="s">
        <v>44</v>
      </c>
      <c r="C32" s="9">
        <v>315</v>
      </c>
      <c r="D32" s="9">
        <v>3</v>
      </c>
      <c r="E32" s="9">
        <v>119</v>
      </c>
      <c r="F32" s="9">
        <v>250</v>
      </c>
      <c r="G32" s="9">
        <v>269</v>
      </c>
      <c r="H32" s="10">
        <f t="shared" si="0"/>
        <v>0.85396825396825393</v>
      </c>
      <c r="I32" s="9">
        <v>350</v>
      </c>
      <c r="J32" s="9">
        <v>127</v>
      </c>
      <c r="K32" s="10">
        <f t="shared" si="1"/>
        <v>0.47924528301886793</v>
      </c>
      <c r="L32" s="9"/>
      <c r="M32" s="10">
        <f t="shared" si="2"/>
        <v>0</v>
      </c>
      <c r="N32" s="9"/>
      <c r="O32" s="10">
        <f t="shared" si="3"/>
        <v>0</v>
      </c>
      <c r="P32" s="9">
        <v>2</v>
      </c>
      <c r="Q32" s="10">
        <f t="shared" si="4"/>
        <v>7.5471698113207548E-3</v>
      </c>
      <c r="R32" s="9">
        <v>133</v>
      </c>
      <c r="S32" s="10">
        <f t="shared" si="5"/>
        <v>0.50188679245283019</v>
      </c>
      <c r="T32" s="9">
        <v>3</v>
      </c>
      <c r="U32" s="10">
        <f t="shared" si="6"/>
        <v>1.1320754716981131E-2</v>
      </c>
      <c r="V32" s="9">
        <f t="shared" si="7"/>
        <v>265</v>
      </c>
      <c r="W32" s="9">
        <v>4</v>
      </c>
    </row>
    <row r="33" spans="1:23" x14ac:dyDescent="0.3">
      <c r="A33" s="7" t="s">
        <v>13</v>
      </c>
      <c r="B33" s="8" t="s">
        <v>45</v>
      </c>
      <c r="C33" s="9">
        <v>1346</v>
      </c>
      <c r="D33" s="9">
        <v>1</v>
      </c>
      <c r="E33" s="9">
        <v>330</v>
      </c>
      <c r="F33" s="9">
        <v>630</v>
      </c>
      <c r="G33" s="9">
        <v>779</v>
      </c>
      <c r="H33" s="10">
        <f t="shared" si="0"/>
        <v>0.57875185735512635</v>
      </c>
      <c r="I33" s="9">
        <v>1200</v>
      </c>
      <c r="J33" s="9">
        <v>310</v>
      </c>
      <c r="K33" s="10">
        <f t="shared" si="1"/>
        <v>0.41005291005291006</v>
      </c>
      <c r="L33" s="9">
        <v>3</v>
      </c>
      <c r="M33" s="10">
        <f t="shared" si="2"/>
        <v>3.968253968253968E-3</v>
      </c>
      <c r="N33" s="9">
        <v>3</v>
      </c>
      <c r="O33" s="10">
        <f t="shared" si="3"/>
        <v>3.968253968253968E-3</v>
      </c>
      <c r="P33" s="9">
        <v>7</v>
      </c>
      <c r="Q33" s="10">
        <f t="shared" si="4"/>
        <v>9.2592592592592587E-3</v>
      </c>
      <c r="R33" s="9">
        <v>413</v>
      </c>
      <c r="S33" s="10">
        <f t="shared" si="5"/>
        <v>0.54629629629629628</v>
      </c>
      <c r="T33" s="9">
        <v>20</v>
      </c>
      <c r="U33" s="10">
        <f t="shared" si="6"/>
        <v>2.6455026455026454E-2</v>
      </c>
      <c r="V33" s="9">
        <f t="shared" si="7"/>
        <v>756</v>
      </c>
      <c r="W33" s="9">
        <v>23</v>
      </c>
    </row>
    <row r="34" spans="1:23" x14ac:dyDescent="0.3">
      <c r="A34" s="7" t="s">
        <v>13</v>
      </c>
      <c r="B34" s="8" t="s">
        <v>46</v>
      </c>
      <c r="C34" s="9">
        <v>1358</v>
      </c>
      <c r="D34" s="9">
        <v>1</v>
      </c>
      <c r="E34" s="9">
        <v>300</v>
      </c>
      <c r="F34" s="9">
        <v>588</v>
      </c>
      <c r="G34" s="9">
        <v>741</v>
      </c>
      <c r="H34" s="10">
        <f t="shared" ref="H34:H62" si="8">G34/C34</f>
        <v>0.54565537555228272</v>
      </c>
      <c r="I34" s="9">
        <v>1200</v>
      </c>
      <c r="J34" s="9">
        <v>244</v>
      </c>
      <c r="K34" s="10">
        <f t="shared" si="1"/>
        <v>0.34221598877980364</v>
      </c>
      <c r="L34" s="9">
        <v>3</v>
      </c>
      <c r="M34" s="10">
        <f t="shared" si="2"/>
        <v>4.2075736325385693E-3</v>
      </c>
      <c r="N34" s="9">
        <v>1</v>
      </c>
      <c r="O34" s="10">
        <f t="shared" si="3"/>
        <v>1.4025245441795231E-3</v>
      </c>
      <c r="P34" s="9">
        <v>5</v>
      </c>
      <c r="Q34" s="10">
        <f t="shared" si="4"/>
        <v>7.0126227208976155E-3</v>
      </c>
      <c r="R34" s="9">
        <v>447</v>
      </c>
      <c r="S34" s="10">
        <f t="shared" si="5"/>
        <v>0.6269284712482468</v>
      </c>
      <c r="T34" s="9">
        <v>13</v>
      </c>
      <c r="U34" s="10">
        <f t="shared" si="6"/>
        <v>1.82328190743338E-2</v>
      </c>
      <c r="V34" s="9">
        <f t="shared" si="7"/>
        <v>713</v>
      </c>
      <c r="W34" s="9">
        <v>28</v>
      </c>
    </row>
    <row r="35" spans="1:23" x14ac:dyDescent="0.3">
      <c r="A35" s="7" t="s">
        <v>13</v>
      </c>
      <c r="B35" s="8" t="s">
        <v>47</v>
      </c>
      <c r="C35" s="9">
        <v>1352</v>
      </c>
      <c r="D35" s="9">
        <v>5</v>
      </c>
      <c r="E35" s="9">
        <v>290</v>
      </c>
      <c r="F35" s="9">
        <v>591</v>
      </c>
      <c r="G35" s="9">
        <v>736</v>
      </c>
      <c r="H35" s="10">
        <f t="shared" si="8"/>
        <v>0.54437869822485208</v>
      </c>
      <c r="I35" s="9">
        <v>1200</v>
      </c>
      <c r="J35" s="9">
        <v>268</v>
      </c>
      <c r="K35" s="10">
        <f t="shared" si="1"/>
        <v>0.37016574585635359</v>
      </c>
      <c r="L35" s="9">
        <v>2</v>
      </c>
      <c r="M35" s="10">
        <f t="shared" si="2"/>
        <v>2.7624309392265192E-3</v>
      </c>
      <c r="N35" s="9">
        <v>4</v>
      </c>
      <c r="O35" s="10">
        <f t="shared" si="3"/>
        <v>5.5248618784530384E-3</v>
      </c>
      <c r="P35" s="9">
        <v>6</v>
      </c>
      <c r="Q35" s="10">
        <f t="shared" si="4"/>
        <v>8.2872928176795577E-3</v>
      </c>
      <c r="R35" s="9">
        <v>406</v>
      </c>
      <c r="S35" s="10">
        <f t="shared" si="5"/>
        <v>0.56077348066298338</v>
      </c>
      <c r="T35" s="9">
        <v>38</v>
      </c>
      <c r="U35" s="10">
        <f t="shared" si="6"/>
        <v>5.2486187845303865E-2</v>
      </c>
      <c r="V35" s="9">
        <f t="shared" si="7"/>
        <v>724</v>
      </c>
      <c r="W35" s="9">
        <v>12</v>
      </c>
    </row>
    <row r="36" spans="1:23" x14ac:dyDescent="0.3">
      <c r="A36" s="7" t="s">
        <v>13</v>
      </c>
      <c r="B36" s="8" t="s">
        <v>48</v>
      </c>
      <c r="C36" s="9">
        <v>1331</v>
      </c>
      <c r="D36" s="9">
        <v>4</v>
      </c>
      <c r="E36" s="9">
        <v>256</v>
      </c>
      <c r="F36" s="9">
        <v>580</v>
      </c>
      <c r="G36" s="9">
        <v>751</v>
      </c>
      <c r="H36" s="10">
        <f t="shared" si="8"/>
        <v>0.56423741547708495</v>
      </c>
      <c r="I36" s="9">
        <v>1200</v>
      </c>
      <c r="J36" s="9">
        <v>301</v>
      </c>
      <c r="K36" s="10">
        <f t="shared" si="1"/>
        <v>0.41346153846153844</v>
      </c>
      <c r="L36" s="9">
        <v>2</v>
      </c>
      <c r="M36" s="10">
        <f t="shared" si="2"/>
        <v>2.7472527472527475E-3</v>
      </c>
      <c r="N36" s="9"/>
      <c r="O36" s="10">
        <f t="shared" si="3"/>
        <v>0</v>
      </c>
      <c r="P36" s="9">
        <v>9</v>
      </c>
      <c r="Q36" s="10">
        <f t="shared" si="4"/>
        <v>1.2362637362637362E-2</v>
      </c>
      <c r="R36" s="9">
        <v>391</v>
      </c>
      <c r="S36" s="10">
        <f t="shared" si="5"/>
        <v>0.53708791208791207</v>
      </c>
      <c r="T36" s="9">
        <v>25</v>
      </c>
      <c r="U36" s="10">
        <f t="shared" si="6"/>
        <v>3.4340659340659344E-2</v>
      </c>
      <c r="V36" s="9">
        <f t="shared" si="7"/>
        <v>728</v>
      </c>
      <c r="W36" s="9">
        <v>23</v>
      </c>
    </row>
    <row r="37" spans="1:23" x14ac:dyDescent="0.3">
      <c r="A37" s="7" t="s">
        <v>13</v>
      </c>
      <c r="B37" s="8" t="s">
        <v>49</v>
      </c>
      <c r="C37" s="9">
        <v>909</v>
      </c>
      <c r="D37" s="9">
        <v>4</v>
      </c>
      <c r="E37" s="9">
        <v>213</v>
      </c>
      <c r="F37" s="9">
        <v>404</v>
      </c>
      <c r="G37" s="9">
        <v>483</v>
      </c>
      <c r="H37" s="10">
        <f t="shared" si="8"/>
        <v>0.53135313531353134</v>
      </c>
      <c r="I37" s="9">
        <v>850</v>
      </c>
      <c r="J37" s="9">
        <v>259</v>
      </c>
      <c r="K37" s="10">
        <f t="shared" si="1"/>
        <v>0.54989384288747345</v>
      </c>
      <c r="L37" s="9">
        <v>3</v>
      </c>
      <c r="M37" s="10">
        <f t="shared" si="2"/>
        <v>6.369426751592357E-3</v>
      </c>
      <c r="N37" s="9">
        <v>2</v>
      </c>
      <c r="O37" s="10">
        <f t="shared" si="3"/>
        <v>4.246284501061571E-3</v>
      </c>
      <c r="P37" s="9">
        <v>10</v>
      </c>
      <c r="Q37" s="10">
        <f t="shared" si="4"/>
        <v>2.1231422505307854E-2</v>
      </c>
      <c r="R37" s="9">
        <v>191</v>
      </c>
      <c r="S37" s="10">
        <f t="shared" si="5"/>
        <v>0.40552016985138006</v>
      </c>
      <c r="T37" s="9">
        <v>6</v>
      </c>
      <c r="U37" s="10">
        <f t="shared" si="6"/>
        <v>1.2738853503184714E-2</v>
      </c>
      <c r="V37" s="9">
        <f t="shared" si="7"/>
        <v>471</v>
      </c>
      <c r="W37" s="9">
        <v>12</v>
      </c>
    </row>
    <row r="38" spans="1:23" x14ac:dyDescent="0.3">
      <c r="A38" s="7" t="s">
        <v>13</v>
      </c>
      <c r="B38" s="8" t="s">
        <v>50</v>
      </c>
      <c r="C38" s="9">
        <v>640</v>
      </c>
      <c r="D38" s="9">
        <v>0</v>
      </c>
      <c r="E38" s="9">
        <v>200</v>
      </c>
      <c r="F38" s="9">
        <v>375</v>
      </c>
      <c r="G38" s="9">
        <v>451</v>
      </c>
      <c r="H38" s="10">
        <f t="shared" si="8"/>
        <v>0.70468750000000002</v>
      </c>
      <c r="I38" s="9">
        <v>600</v>
      </c>
      <c r="J38" s="9">
        <v>171</v>
      </c>
      <c r="K38" s="10">
        <f t="shared" si="1"/>
        <v>0.39130434782608697</v>
      </c>
      <c r="L38" s="9"/>
      <c r="M38" s="10">
        <f t="shared" si="2"/>
        <v>0</v>
      </c>
      <c r="N38" s="9"/>
      <c r="O38" s="10">
        <f t="shared" si="3"/>
        <v>0</v>
      </c>
      <c r="P38" s="9">
        <v>3</v>
      </c>
      <c r="Q38" s="10">
        <f t="shared" si="4"/>
        <v>6.8649885583524023E-3</v>
      </c>
      <c r="R38" s="9">
        <v>254</v>
      </c>
      <c r="S38" s="10">
        <f t="shared" si="5"/>
        <v>0.58123569794050345</v>
      </c>
      <c r="T38" s="9">
        <v>9</v>
      </c>
      <c r="U38" s="10">
        <f t="shared" si="6"/>
        <v>2.0594965675057208E-2</v>
      </c>
      <c r="V38" s="9">
        <f t="shared" si="7"/>
        <v>437</v>
      </c>
      <c r="W38" s="9">
        <v>14</v>
      </c>
    </row>
    <row r="39" spans="1:23" x14ac:dyDescent="0.3">
      <c r="A39" s="7" t="s">
        <v>13</v>
      </c>
      <c r="B39" s="8" t="s">
        <v>51</v>
      </c>
      <c r="C39" s="9">
        <v>931</v>
      </c>
      <c r="D39" s="9">
        <v>0</v>
      </c>
      <c r="E39" s="9">
        <v>241</v>
      </c>
      <c r="F39" s="9">
        <v>495</v>
      </c>
      <c r="G39" s="9">
        <v>584</v>
      </c>
      <c r="H39" s="10">
        <f t="shared" si="8"/>
        <v>0.62728249194414609</v>
      </c>
      <c r="I39" s="9">
        <v>850</v>
      </c>
      <c r="J39" s="9">
        <v>244</v>
      </c>
      <c r="K39" s="10">
        <f t="shared" si="1"/>
        <v>0.4288224956063269</v>
      </c>
      <c r="L39" s="9">
        <v>1</v>
      </c>
      <c r="M39" s="10">
        <f t="shared" si="2"/>
        <v>1.7574692442882249E-3</v>
      </c>
      <c r="N39" s="9">
        <v>1</v>
      </c>
      <c r="O39" s="10">
        <f t="shared" si="3"/>
        <v>1.7574692442882249E-3</v>
      </c>
      <c r="P39" s="9">
        <v>5</v>
      </c>
      <c r="Q39" s="10">
        <f t="shared" si="4"/>
        <v>8.7873462214411256E-3</v>
      </c>
      <c r="R39" s="9">
        <v>304</v>
      </c>
      <c r="S39" s="10">
        <f t="shared" si="5"/>
        <v>0.53427065026362042</v>
      </c>
      <c r="T39" s="9">
        <v>14</v>
      </c>
      <c r="U39" s="10">
        <f t="shared" si="6"/>
        <v>2.4604569420035149E-2</v>
      </c>
      <c r="V39" s="9">
        <f t="shared" si="7"/>
        <v>569</v>
      </c>
      <c r="W39" s="9">
        <v>15</v>
      </c>
    </row>
    <row r="40" spans="1:23" x14ac:dyDescent="0.3">
      <c r="A40" s="7" t="s">
        <v>13</v>
      </c>
      <c r="B40" s="8" t="s">
        <v>52</v>
      </c>
      <c r="C40" s="9">
        <v>792</v>
      </c>
      <c r="D40" s="9">
        <v>0</v>
      </c>
      <c r="E40" s="9">
        <v>202</v>
      </c>
      <c r="F40" s="9">
        <v>455</v>
      </c>
      <c r="G40" s="9">
        <v>515</v>
      </c>
      <c r="H40" s="10">
        <f t="shared" si="8"/>
        <v>0.6502525252525253</v>
      </c>
      <c r="I40" s="9">
        <v>700</v>
      </c>
      <c r="J40" s="9">
        <v>226</v>
      </c>
      <c r="K40" s="10">
        <f t="shared" si="1"/>
        <v>0.44488188976377951</v>
      </c>
      <c r="L40" s="9">
        <v>1</v>
      </c>
      <c r="M40" s="10">
        <f t="shared" si="2"/>
        <v>1.968503937007874E-3</v>
      </c>
      <c r="N40" s="9">
        <v>1</v>
      </c>
      <c r="O40" s="10">
        <f t="shared" si="3"/>
        <v>1.968503937007874E-3</v>
      </c>
      <c r="P40" s="9"/>
      <c r="Q40" s="10">
        <f t="shared" si="4"/>
        <v>0</v>
      </c>
      <c r="R40" s="9">
        <v>276</v>
      </c>
      <c r="S40" s="10">
        <f t="shared" si="5"/>
        <v>0.54330708661417326</v>
      </c>
      <c r="T40" s="9">
        <v>4</v>
      </c>
      <c r="U40" s="10">
        <f t="shared" si="6"/>
        <v>7.874015748031496E-3</v>
      </c>
      <c r="V40" s="9">
        <f t="shared" si="7"/>
        <v>508</v>
      </c>
      <c r="W40" s="9">
        <v>7</v>
      </c>
    </row>
    <row r="41" spans="1:23" x14ac:dyDescent="0.3">
      <c r="A41" s="7" t="s">
        <v>13</v>
      </c>
      <c r="B41" s="8" t="s">
        <v>53</v>
      </c>
      <c r="C41" s="9">
        <v>338</v>
      </c>
      <c r="D41" s="9">
        <v>4</v>
      </c>
      <c r="E41" s="9">
        <v>74</v>
      </c>
      <c r="F41" s="9">
        <v>173</v>
      </c>
      <c r="G41" s="9">
        <v>180</v>
      </c>
      <c r="H41" s="10">
        <f t="shared" si="8"/>
        <v>0.53254437869822491</v>
      </c>
      <c r="I41" s="9">
        <v>350</v>
      </c>
      <c r="J41" s="9">
        <v>83</v>
      </c>
      <c r="K41" s="10">
        <f t="shared" si="1"/>
        <v>0.47428571428571431</v>
      </c>
      <c r="L41" s="9">
        <v>1</v>
      </c>
      <c r="M41" s="10">
        <f t="shared" si="2"/>
        <v>5.7142857142857143E-3</v>
      </c>
      <c r="N41" s="9">
        <v>2</v>
      </c>
      <c r="O41" s="10">
        <f t="shared" si="3"/>
        <v>1.1428571428571429E-2</v>
      </c>
      <c r="P41" s="9"/>
      <c r="Q41" s="10">
        <f t="shared" si="4"/>
        <v>0</v>
      </c>
      <c r="R41" s="9">
        <v>88</v>
      </c>
      <c r="S41" s="10">
        <f t="shared" si="5"/>
        <v>0.50285714285714289</v>
      </c>
      <c r="T41" s="9">
        <v>1</v>
      </c>
      <c r="U41" s="10">
        <f t="shared" si="6"/>
        <v>5.7142857142857143E-3</v>
      </c>
      <c r="V41" s="9">
        <f t="shared" si="7"/>
        <v>175</v>
      </c>
      <c r="W41" s="9">
        <v>5</v>
      </c>
    </row>
    <row r="42" spans="1:23" x14ac:dyDescent="0.3">
      <c r="A42" s="7" t="s">
        <v>13</v>
      </c>
      <c r="B42" s="8" t="s">
        <v>54</v>
      </c>
      <c r="C42" s="9">
        <v>983</v>
      </c>
      <c r="D42" s="9">
        <v>3</v>
      </c>
      <c r="E42" s="9">
        <v>244</v>
      </c>
      <c r="F42" s="9">
        <v>480</v>
      </c>
      <c r="G42" s="9">
        <v>573</v>
      </c>
      <c r="H42" s="10">
        <f t="shared" si="8"/>
        <v>0.58290946083418105</v>
      </c>
      <c r="I42" s="9">
        <v>900</v>
      </c>
      <c r="J42" s="9">
        <v>215</v>
      </c>
      <c r="K42" s="10">
        <f t="shared" si="1"/>
        <v>0.38530465949820786</v>
      </c>
      <c r="L42" s="9">
        <v>3</v>
      </c>
      <c r="M42" s="10">
        <f t="shared" si="2"/>
        <v>5.3763440860215058E-3</v>
      </c>
      <c r="N42" s="9">
        <v>1</v>
      </c>
      <c r="O42" s="10">
        <f t="shared" si="3"/>
        <v>1.7921146953405018E-3</v>
      </c>
      <c r="P42" s="9">
        <v>6</v>
      </c>
      <c r="Q42" s="10">
        <f t="shared" si="4"/>
        <v>1.0752688172043012E-2</v>
      </c>
      <c r="R42" s="9">
        <v>318</v>
      </c>
      <c r="S42" s="10">
        <f t="shared" si="5"/>
        <v>0.56989247311827962</v>
      </c>
      <c r="T42" s="9">
        <v>15</v>
      </c>
      <c r="U42" s="10">
        <f t="shared" si="6"/>
        <v>2.6881720430107527E-2</v>
      </c>
      <c r="V42" s="9">
        <f t="shared" si="7"/>
        <v>558</v>
      </c>
      <c r="W42" s="9">
        <v>15</v>
      </c>
    </row>
    <row r="43" spans="1:23" x14ac:dyDescent="0.3">
      <c r="A43" s="7" t="s">
        <v>13</v>
      </c>
      <c r="B43" s="8" t="s">
        <v>55</v>
      </c>
      <c r="C43" s="9">
        <v>310</v>
      </c>
      <c r="D43" s="9">
        <v>2</v>
      </c>
      <c r="E43" s="9">
        <v>103</v>
      </c>
      <c r="F43" s="9">
        <v>202</v>
      </c>
      <c r="G43" s="9">
        <v>225</v>
      </c>
      <c r="H43" s="10">
        <f t="shared" si="8"/>
        <v>0.72580645161290325</v>
      </c>
      <c r="I43" s="9">
        <v>300</v>
      </c>
      <c r="J43" s="9">
        <v>80</v>
      </c>
      <c r="K43" s="10">
        <f t="shared" si="1"/>
        <v>0.35555555555555557</v>
      </c>
      <c r="L43" s="9">
        <v>1</v>
      </c>
      <c r="M43" s="10">
        <f t="shared" si="2"/>
        <v>4.4444444444444444E-3</v>
      </c>
      <c r="N43" s="9">
        <v>1</v>
      </c>
      <c r="O43" s="10">
        <f t="shared" si="3"/>
        <v>4.4444444444444444E-3</v>
      </c>
      <c r="P43" s="9">
        <v>1</v>
      </c>
      <c r="Q43" s="10">
        <f t="shared" si="4"/>
        <v>4.4444444444444444E-3</v>
      </c>
      <c r="R43" s="9">
        <v>140</v>
      </c>
      <c r="S43" s="10">
        <f t="shared" si="5"/>
        <v>0.62222222222222223</v>
      </c>
      <c r="T43" s="9">
        <v>2</v>
      </c>
      <c r="U43" s="10">
        <f t="shared" si="6"/>
        <v>8.8888888888888889E-3</v>
      </c>
      <c r="V43" s="9">
        <f t="shared" si="7"/>
        <v>225</v>
      </c>
      <c r="W43" s="9"/>
    </row>
    <row r="44" spans="1:23" x14ac:dyDescent="0.3">
      <c r="A44" s="7" t="s">
        <v>13</v>
      </c>
      <c r="B44" s="8" t="s">
        <v>56</v>
      </c>
      <c r="C44" s="9">
        <v>874</v>
      </c>
      <c r="D44" s="9">
        <v>4</v>
      </c>
      <c r="E44" s="9">
        <v>199</v>
      </c>
      <c r="F44" s="9">
        <v>393</v>
      </c>
      <c r="G44" s="9">
        <v>458</v>
      </c>
      <c r="H44" s="10">
        <f t="shared" si="8"/>
        <v>0.52402745995423339</v>
      </c>
      <c r="I44" s="9">
        <v>800</v>
      </c>
      <c r="J44" s="9">
        <v>184</v>
      </c>
      <c r="K44" s="10">
        <f t="shared" si="1"/>
        <v>0.41255605381165922</v>
      </c>
      <c r="L44" s="9">
        <v>4</v>
      </c>
      <c r="M44" s="10">
        <f t="shared" si="2"/>
        <v>8.9686098654708519E-3</v>
      </c>
      <c r="N44" s="9">
        <v>2</v>
      </c>
      <c r="O44" s="10">
        <f t="shared" si="3"/>
        <v>4.4843049327354259E-3</v>
      </c>
      <c r="P44" s="9">
        <v>10</v>
      </c>
      <c r="Q44" s="10">
        <f t="shared" si="4"/>
        <v>2.2421524663677129E-2</v>
      </c>
      <c r="R44" s="9">
        <v>235</v>
      </c>
      <c r="S44" s="10">
        <f t="shared" si="5"/>
        <v>0.52690582959641252</v>
      </c>
      <c r="T44" s="9">
        <v>11</v>
      </c>
      <c r="U44" s="10">
        <f t="shared" si="6"/>
        <v>2.4663677130044841E-2</v>
      </c>
      <c r="V44" s="9">
        <f t="shared" si="7"/>
        <v>446</v>
      </c>
      <c r="W44" s="9">
        <v>12</v>
      </c>
    </row>
    <row r="45" spans="1:23" x14ac:dyDescent="0.3">
      <c r="A45" s="7" t="s">
        <v>13</v>
      </c>
      <c r="B45" s="8" t="s">
        <v>57</v>
      </c>
      <c r="C45" s="9">
        <v>495</v>
      </c>
      <c r="D45" s="9">
        <v>2</v>
      </c>
      <c r="E45" s="9">
        <v>166</v>
      </c>
      <c r="F45" s="9">
        <v>244</v>
      </c>
      <c r="G45" s="9">
        <v>271</v>
      </c>
      <c r="H45" s="10">
        <f t="shared" si="8"/>
        <v>0.54747474747474745</v>
      </c>
      <c r="I45" s="9">
        <v>450</v>
      </c>
      <c r="J45" s="9">
        <v>112</v>
      </c>
      <c r="K45" s="10">
        <f t="shared" si="1"/>
        <v>0.41791044776119401</v>
      </c>
      <c r="L45" s="9">
        <v>2</v>
      </c>
      <c r="M45" s="10">
        <f t="shared" si="2"/>
        <v>7.462686567164179E-3</v>
      </c>
      <c r="N45" s="9"/>
      <c r="O45" s="10">
        <f t="shared" si="3"/>
        <v>0</v>
      </c>
      <c r="P45" s="9">
        <v>3</v>
      </c>
      <c r="Q45" s="10">
        <f t="shared" si="4"/>
        <v>1.1194029850746268E-2</v>
      </c>
      <c r="R45" s="9">
        <v>149</v>
      </c>
      <c r="S45" s="10">
        <f t="shared" si="5"/>
        <v>0.55597014925373134</v>
      </c>
      <c r="T45" s="9">
        <v>2</v>
      </c>
      <c r="U45" s="10">
        <f t="shared" si="6"/>
        <v>7.462686567164179E-3</v>
      </c>
      <c r="V45" s="9">
        <f t="shared" si="7"/>
        <v>268</v>
      </c>
      <c r="W45" s="9">
        <v>3</v>
      </c>
    </row>
    <row r="46" spans="1:23" x14ac:dyDescent="0.3">
      <c r="A46" s="7" t="s">
        <v>13</v>
      </c>
      <c r="B46" s="8" t="s">
        <v>58</v>
      </c>
      <c r="C46" s="9">
        <v>1291</v>
      </c>
      <c r="D46" s="9">
        <v>1</v>
      </c>
      <c r="E46" s="9">
        <v>287</v>
      </c>
      <c r="F46" s="9">
        <v>606</v>
      </c>
      <c r="G46" s="9">
        <v>749</v>
      </c>
      <c r="H46" s="10">
        <f t="shared" si="8"/>
        <v>0.58017041053446938</v>
      </c>
      <c r="I46" s="9">
        <v>1200</v>
      </c>
      <c r="J46" s="9">
        <v>256</v>
      </c>
      <c r="K46" s="10">
        <f t="shared" si="1"/>
        <v>0.36107193229901269</v>
      </c>
      <c r="L46" s="9">
        <v>2</v>
      </c>
      <c r="M46" s="10">
        <f t="shared" si="2"/>
        <v>2.8208744710860366E-3</v>
      </c>
      <c r="N46" s="9">
        <v>3</v>
      </c>
      <c r="O46" s="10">
        <f t="shared" si="3"/>
        <v>4.2313117066290554E-3</v>
      </c>
      <c r="P46" s="9">
        <v>46</v>
      </c>
      <c r="Q46" s="10">
        <f t="shared" si="4"/>
        <v>6.488011283497884E-2</v>
      </c>
      <c r="R46" s="9">
        <v>384</v>
      </c>
      <c r="S46" s="10">
        <f t="shared" si="5"/>
        <v>0.54160789844851909</v>
      </c>
      <c r="T46" s="9">
        <v>18</v>
      </c>
      <c r="U46" s="10">
        <f t="shared" si="6"/>
        <v>2.5387870239774329E-2</v>
      </c>
      <c r="V46" s="9">
        <f t="shared" si="7"/>
        <v>709</v>
      </c>
      <c r="W46" s="9">
        <v>40</v>
      </c>
    </row>
    <row r="47" spans="1:23" x14ac:dyDescent="0.3">
      <c r="A47" s="7" t="s">
        <v>13</v>
      </c>
      <c r="B47" s="8" t="s">
        <v>59</v>
      </c>
      <c r="C47" s="9">
        <v>225</v>
      </c>
      <c r="D47" s="9">
        <v>2</v>
      </c>
      <c r="E47" s="9">
        <v>72</v>
      </c>
      <c r="F47" s="9">
        <v>152</v>
      </c>
      <c r="G47" s="9">
        <v>164</v>
      </c>
      <c r="H47" s="10">
        <f t="shared" si="8"/>
        <v>0.72888888888888892</v>
      </c>
      <c r="I47" s="9">
        <v>250</v>
      </c>
      <c r="J47" s="9">
        <v>54</v>
      </c>
      <c r="K47" s="10">
        <f t="shared" si="1"/>
        <v>0.33750000000000002</v>
      </c>
      <c r="L47" s="9"/>
      <c r="M47" s="10">
        <f t="shared" si="2"/>
        <v>0</v>
      </c>
      <c r="N47" s="9"/>
      <c r="O47" s="10">
        <f t="shared" si="3"/>
        <v>0</v>
      </c>
      <c r="P47" s="9">
        <v>4</v>
      </c>
      <c r="Q47" s="10">
        <f t="shared" si="4"/>
        <v>2.5000000000000001E-2</v>
      </c>
      <c r="R47" s="9">
        <v>98</v>
      </c>
      <c r="S47" s="10">
        <f t="shared" si="5"/>
        <v>0.61250000000000004</v>
      </c>
      <c r="T47" s="9">
        <v>4</v>
      </c>
      <c r="U47" s="10">
        <f t="shared" si="6"/>
        <v>2.5000000000000001E-2</v>
      </c>
      <c r="V47" s="9">
        <f t="shared" si="7"/>
        <v>160</v>
      </c>
      <c r="W47" s="9">
        <v>4</v>
      </c>
    </row>
    <row r="48" spans="1:23" x14ac:dyDescent="0.3">
      <c r="A48" s="7" t="s">
        <v>13</v>
      </c>
      <c r="B48" s="8" t="s">
        <v>60</v>
      </c>
      <c r="C48" s="9">
        <v>667</v>
      </c>
      <c r="D48" s="9">
        <v>2</v>
      </c>
      <c r="E48" s="9">
        <v>171</v>
      </c>
      <c r="F48" s="9">
        <v>378</v>
      </c>
      <c r="G48" s="9">
        <v>445</v>
      </c>
      <c r="H48" s="10">
        <f t="shared" si="8"/>
        <v>0.66716641679160416</v>
      </c>
      <c r="I48" s="9">
        <v>600</v>
      </c>
      <c r="J48" s="9">
        <v>202</v>
      </c>
      <c r="K48" s="10">
        <f t="shared" si="1"/>
        <v>0.46543778801843316</v>
      </c>
      <c r="L48" s="9">
        <v>2</v>
      </c>
      <c r="M48" s="10">
        <f t="shared" si="2"/>
        <v>4.608294930875576E-3</v>
      </c>
      <c r="N48" s="9">
        <v>1</v>
      </c>
      <c r="O48" s="10">
        <f t="shared" si="3"/>
        <v>2.304147465437788E-3</v>
      </c>
      <c r="P48" s="9">
        <v>4</v>
      </c>
      <c r="Q48" s="10">
        <f t="shared" si="4"/>
        <v>9.2165898617511521E-3</v>
      </c>
      <c r="R48" s="9">
        <v>215</v>
      </c>
      <c r="S48" s="10">
        <f t="shared" si="5"/>
        <v>0.49539170506912444</v>
      </c>
      <c r="T48" s="9">
        <v>10</v>
      </c>
      <c r="U48" s="10">
        <f t="shared" si="6"/>
        <v>2.3041474654377881E-2</v>
      </c>
      <c r="V48" s="9">
        <f t="shared" si="7"/>
        <v>434</v>
      </c>
      <c r="W48" s="9">
        <v>11</v>
      </c>
    </row>
    <row r="49" spans="1:23" x14ac:dyDescent="0.3">
      <c r="A49" s="7" t="s">
        <v>13</v>
      </c>
      <c r="B49" s="8" t="s">
        <v>61</v>
      </c>
      <c r="C49" s="9">
        <v>836</v>
      </c>
      <c r="D49" s="9">
        <v>5</v>
      </c>
      <c r="E49" s="9">
        <v>192</v>
      </c>
      <c r="F49" s="9">
        <v>410</v>
      </c>
      <c r="G49" s="9">
        <v>497</v>
      </c>
      <c r="H49" s="10">
        <f t="shared" si="8"/>
        <v>0.59449760765550241</v>
      </c>
      <c r="I49" s="9">
        <v>750</v>
      </c>
      <c r="J49" s="9">
        <v>202</v>
      </c>
      <c r="K49" s="10">
        <f t="shared" si="1"/>
        <v>0.41735537190082644</v>
      </c>
      <c r="L49" s="9">
        <v>1</v>
      </c>
      <c r="M49" s="10">
        <f t="shared" si="2"/>
        <v>2.0661157024793389E-3</v>
      </c>
      <c r="N49" s="9">
        <v>1</v>
      </c>
      <c r="O49" s="10">
        <f t="shared" si="3"/>
        <v>2.0661157024793389E-3</v>
      </c>
      <c r="P49" s="9">
        <v>13</v>
      </c>
      <c r="Q49" s="10">
        <f t="shared" si="4"/>
        <v>2.6859504132231406E-2</v>
      </c>
      <c r="R49" s="9">
        <v>250</v>
      </c>
      <c r="S49" s="10">
        <f t="shared" si="5"/>
        <v>0.51652892561983466</v>
      </c>
      <c r="T49" s="9">
        <v>17</v>
      </c>
      <c r="U49" s="10">
        <f t="shared" si="6"/>
        <v>3.5123966942148761E-2</v>
      </c>
      <c r="V49" s="9">
        <f t="shared" si="7"/>
        <v>484</v>
      </c>
      <c r="W49" s="9">
        <v>13</v>
      </c>
    </row>
    <row r="50" spans="1:23" x14ac:dyDescent="0.3">
      <c r="A50" s="7" t="s">
        <v>13</v>
      </c>
      <c r="B50" s="8" t="s">
        <v>62</v>
      </c>
      <c r="C50" s="9">
        <v>863</v>
      </c>
      <c r="D50" s="9">
        <v>2</v>
      </c>
      <c r="E50" s="9">
        <v>236</v>
      </c>
      <c r="F50" s="9">
        <v>461</v>
      </c>
      <c r="G50" s="9">
        <v>560</v>
      </c>
      <c r="H50" s="10">
        <f t="shared" si="8"/>
        <v>0.64889918887601394</v>
      </c>
      <c r="I50" s="9">
        <v>800</v>
      </c>
      <c r="J50" s="9">
        <v>313</v>
      </c>
      <c r="K50" s="10">
        <f t="shared" si="1"/>
        <v>0.57962962962962961</v>
      </c>
      <c r="L50" s="9">
        <v>2</v>
      </c>
      <c r="M50" s="10">
        <f t="shared" si="2"/>
        <v>3.7037037037037038E-3</v>
      </c>
      <c r="N50" s="9">
        <v>1</v>
      </c>
      <c r="O50" s="10">
        <f t="shared" si="3"/>
        <v>1.8518518518518519E-3</v>
      </c>
      <c r="P50" s="9">
        <v>2</v>
      </c>
      <c r="Q50" s="10">
        <f t="shared" si="4"/>
        <v>3.7037037037037038E-3</v>
      </c>
      <c r="R50" s="9">
        <v>213</v>
      </c>
      <c r="S50" s="10">
        <f t="shared" si="5"/>
        <v>0.39444444444444443</v>
      </c>
      <c r="T50" s="9">
        <v>9</v>
      </c>
      <c r="U50" s="10">
        <f t="shared" si="6"/>
        <v>1.6666666666666666E-2</v>
      </c>
      <c r="V50" s="9">
        <f t="shared" si="7"/>
        <v>540</v>
      </c>
      <c r="W50" s="9">
        <v>19</v>
      </c>
    </row>
    <row r="51" spans="1:23" x14ac:dyDescent="0.3">
      <c r="A51" s="7" t="s">
        <v>13</v>
      </c>
      <c r="B51" s="8" t="s">
        <v>63</v>
      </c>
      <c r="C51" s="9">
        <v>289</v>
      </c>
      <c r="D51" s="9">
        <v>3</v>
      </c>
      <c r="E51" s="9">
        <v>62</v>
      </c>
      <c r="F51" s="9">
        <v>182</v>
      </c>
      <c r="G51" s="9">
        <v>211</v>
      </c>
      <c r="H51" s="10">
        <f t="shared" si="8"/>
        <v>0.73010380622837368</v>
      </c>
      <c r="I51" s="9">
        <v>300</v>
      </c>
      <c r="J51" s="9">
        <v>107</v>
      </c>
      <c r="K51" s="10">
        <f t="shared" si="1"/>
        <v>0.51442307692307687</v>
      </c>
      <c r="L51" s="9"/>
      <c r="M51" s="10">
        <f t="shared" si="2"/>
        <v>0</v>
      </c>
      <c r="N51" s="9"/>
      <c r="O51" s="10">
        <f t="shared" si="3"/>
        <v>0</v>
      </c>
      <c r="P51" s="9">
        <v>1</v>
      </c>
      <c r="Q51" s="10">
        <f t="shared" si="4"/>
        <v>4.807692307692308E-3</v>
      </c>
      <c r="R51" s="9">
        <v>97</v>
      </c>
      <c r="S51" s="10">
        <f t="shared" si="5"/>
        <v>0.46634615384615385</v>
      </c>
      <c r="T51" s="9">
        <v>3</v>
      </c>
      <c r="U51" s="10">
        <f t="shared" si="6"/>
        <v>1.4423076923076924E-2</v>
      </c>
      <c r="V51" s="9">
        <f t="shared" si="7"/>
        <v>208</v>
      </c>
      <c r="W51" s="9">
        <v>3</v>
      </c>
    </row>
    <row r="52" spans="1:23" x14ac:dyDescent="0.3">
      <c r="A52" s="7" t="s">
        <v>13</v>
      </c>
      <c r="B52" s="8" t="s">
        <v>64</v>
      </c>
      <c r="C52" s="9">
        <v>1185</v>
      </c>
      <c r="D52" s="9">
        <v>3</v>
      </c>
      <c r="E52" s="9">
        <v>266</v>
      </c>
      <c r="F52" s="9">
        <v>606</v>
      </c>
      <c r="G52" s="9">
        <v>694</v>
      </c>
      <c r="H52" s="10">
        <f t="shared" si="8"/>
        <v>0.58565400843881854</v>
      </c>
      <c r="I52" s="9">
        <v>1100</v>
      </c>
      <c r="J52" s="9">
        <v>331</v>
      </c>
      <c r="K52" s="10">
        <f t="shared" si="1"/>
        <v>0.48462664714494874</v>
      </c>
      <c r="L52" s="9">
        <v>1</v>
      </c>
      <c r="M52" s="10">
        <f t="shared" si="2"/>
        <v>1.4641288433382138E-3</v>
      </c>
      <c r="N52" s="9"/>
      <c r="O52" s="10">
        <f t="shared" si="3"/>
        <v>0</v>
      </c>
      <c r="P52" s="9">
        <v>8</v>
      </c>
      <c r="Q52" s="10">
        <f t="shared" si="4"/>
        <v>1.171303074670571E-2</v>
      </c>
      <c r="R52" s="9">
        <v>327</v>
      </c>
      <c r="S52" s="10">
        <f t="shared" si="5"/>
        <v>0.47877013177159589</v>
      </c>
      <c r="T52" s="9">
        <v>16</v>
      </c>
      <c r="U52" s="10">
        <f t="shared" si="6"/>
        <v>2.3426061493411421E-2</v>
      </c>
      <c r="V52" s="9">
        <f t="shared" si="7"/>
        <v>683</v>
      </c>
      <c r="W52" s="9">
        <v>11</v>
      </c>
    </row>
    <row r="53" spans="1:23" x14ac:dyDescent="0.3">
      <c r="A53" s="7" t="s">
        <v>13</v>
      </c>
      <c r="B53" s="8" t="s">
        <v>65</v>
      </c>
      <c r="C53" s="9">
        <v>451</v>
      </c>
      <c r="D53" s="9">
        <v>1</v>
      </c>
      <c r="E53" s="9">
        <v>161</v>
      </c>
      <c r="F53" s="9">
        <v>288</v>
      </c>
      <c r="G53" s="9">
        <v>323</v>
      </c>
      <c r="H53" s="10">
        <f t="shared" si="8"/>
        <v>0.71618625277161863</v>
      </c>
      <c r="I53" s="9">
        <v>450</v>
      </c>
      <c r="J53" s="9">
        <v>144</v>
      </c>
      <c r="K53" s="10">
        <f t="shared" si="1"/>
        <v>0.45714285714285713</v>
      </c>
      <c r="L53" s="9"/>
      <c r="M53" s="10">
        <f t="shared" si="2"/>
        <v>0</v>
      </c>
      <c r="N53" s="9">
        <v>1</v>
      </c>
      <c r="O53" s="10">
        <f t="shared" si="3"/>
        <v>3.1746031746031746E-3</v>
      </c>
      <c r="P53" s="9">
        <v>6</v>
      </c>
      <c r="Q53" s="10">
        <f t="shared" si="4"/>
        <v>1.9047619047619049E-2</v>
      </c>
      <c r="R53" s="9">
        <v>164</v>
      </c>
      <c r="S53" s="10">
        <f t="shared" si="5"/>
        <v>0.52063492063492067</v>
      </c>
      <c r="T53" s="9"/>
      <c r="U53" s="10">
        <f t="shared" si="6"/>
        <v>0</v>
      </c>
      <c r="V53" s="9">
        <f t="shared" si="7"/>
        <v>315</v>
      </c>
      <c r="W53" s="9">
        <v>8</v>
      </c>
    </row>
    <row r="54" spans="1:23" x14ac:dyDescent="0.3">
      <c r="A54" s="7" t="s">
        <v>13</v>
      </c>
      <c r="B54" s="8" t="s">
        <v>66</v>
      </c>
      <c r="C54" s="9">
        <v>407</v>
      </c>
      <c r="D54" s="9">
        <v>1</v>
      </c>
      <c r="E54" s="9">
        <v>121</v>
      </c>
      <c r="F54" s="9">
        <v>267</v>
      </c>
      <c r="G54" s="9">
        <v>314</v>
      </c>
      <c r="H54" s="10">
        <f t="shared" si="8"/>
        <v>0.77149877149877155</v>
      </c>
      <c r="I54" s="9">
        <v>400</v>
      </c>
      <c r="J54" s="9">
        <v>160</v>
      </c>
      <c r="K54" s="10">
        <f t="shared" si="1"/>
        <v>0.53156146179401997</v>
      </c>
      <c r="L54" s="9">
        <v>1</v>
      </c>
      <c r="M54" s="10">
        <f t="shared" si="2"/>
        <v>3.3222591362126247E-3</v>
      </c>
      <c r="N54" s="9"/>
      <c r="O54" s="10">
        <f t="shared" si="3"/>
        <v>0</v>
      </c>
      <c r="P54" s="9">
        <v>2</v>
      </c>
      <c r="Q54" s="10">
        <f t="shared" si="4"/>
        <v>6.6445182724252493E-3</v>
      </c>
      <c r="R54" s="9">
        <v>134</v>
      </c>
      <c r="S54" s="10">
        <f t="shared" si="5"/>
        <v>0.44518272425249167</v>
      </c>
      <c r="T54" s="9">
        <v>4</v>
      </c>
      <c r="U54" s="10">
        <f t="shared" si="6"/>
        <v>1.3289036544850499E-2</v>
      </c>
      <c r="V54" s="9">
        <f t="shared" si="7"/>
        <v>301</v>
      </c>
      <c r="W54" s="9">
        <v>13</v>
      </c>
    </row>
    <row r="55" spans="1:23" x14ac:dyDescent="0.3">
      <c r="A55" s="7" t="s">
        <v>13</v>
      </c>
      <c r="B55" s="8" t="s">
        <v>67</v>
      </c>
      <c r="C55" s="9">
        <v>79</v>
      </c>
      <c r="D55" s="9">
        <v>8</v>
      </c>
      <c r="E55" s="9">
        <v>49</v>
      </c>
      <c r="F55" s="9">
        <v>69</v>
      </c>
      <c r="G55" s="9">
        <v>74</v>
      </c>
      <c r="H55" s="10">
        <f t="shared" si="8"/>
        <v>0.93670886075949367</v>
      </c>
      <c r="I55" s="9">
        <v>100</v>
      </c>
      <c r="J55" s="9">
        <v>24</v>
      </c>
      <c r="K55" s="10">
        <f t="shared" si="1"/>
        <v>0.32876712328767121</v>
      </c>
      <c r="L55" s="9">
        <v>1</v>
      </c>
      <c r="M55" s="10">
        <f t="shared" si="2"/>
        <v>1.3698630136986301E-2</v>
      </c>
      <c r="N55" s="9"/>
      <c r="O55" s="10">
        <f t="shared" si="3"/>
        <v>0</v>
      </c>
      <c r="P55" s="9">
        <v>1</v>
      </c>
      <c r="Q55" s="10">
        <f t="shared" si="4"/>
        <v>1.3698630136986301E-2</v>
      </c>
      <c r="R55" s="9">
        <v>46</v>
      </c>
      <c r="S55" s="10">
        <f t="shared" si="5"/>
        <v>0.63013698630136983</v>
      </c>
      <c r="T55" s="9">
        <v>1</v>
      </c>
      <c r="U55" s="10">
        <f t="shared" si="6"/>
        <v>1.3698630136986301E-2</v>
      </c>
      <c r="V55" s="9">
        <f t="shared" si="7"/>
        <v>73</v>
      </c>
      <c r="W55" s="9">
        <v>1</v>
      </c>
    </row>
    <row r="56" spans="1:23" x14ac:dyDescent="0.3">
      <c r="A56" s="7" t="s">
        <v>13</v>
      </c>
      <c r="B56" s="8" t="s">
        <v>68</v>
      </c>
      <c r="C56" s="9">
        <v>1052</v>
      </c>
      <c r="D56" s="9">
        <v>1</v>
      </c>
      <c r="E56" s="9">
        <v>235</v>
      </c>
      <c r="F56" s="9">
        <v>505</v>
      </c>
      <c r="G56" s="9">
        <v>579</v>
      </c>
      <c r="H56" s="10">
        <f t="shared" si="8"/>
        <v>0.55038022813688214</v>
      </c>
      <c r="I56" s="9">
        <v>950</v>
      </c>
      <c r="J56" s="9">
        <v>207</v>
      </c>
      <c r="K56" s="10">
        <f t="shared" si="1"/>
        <v>0.36767317939609234</v>
      </c>
      <c r="L56" s="9">
        <v>2</v>
      </c>
      <c r="M56" s="10">
        <f t="shared" si="2"/>
        <v>3.552397868561279E-3</v>
      </c>
      <c r="N56" s="9"/>
      <c r="O56" s="10">
        <f t="shared" si="3"/>
        <v>0</v>
      </c>
      <c r="P56" s="9">
        <v>20</v>
      </c>
      <c r="Q56" s="10">
        <f t="shared" si="4"/>
        <v>3.5523978685612786E-2</v>
      </c>
      <c r="R56" s="9">
        <v>326</v>
      </c>
      <c r="S56" s="10">
        <f t="shared" si="5"/>
        <v>0.57904085257548843</v>
      </c>
      <c r="T56" s="9">
        <v>8</v>
      </c>
      <c r="U56" s="10">
        <f t="shared" si="6"/>
        <v>1.4209591474245116E-2</v>
      </c>
      <c r="V56" s="9">
        <f t="shared" si="7"/>
        <v>563</v>
      </c>
      <c r="W56" s="9">
        <v>16</v>
      </c>
    </row>
    <row r="57" spans="1:23" x14ac:dyDescent="0.3">
      <c r="A57" s="7" t="s">
        <v>13</v>
      </c>
      <c r="B57" s="8" t="s">
        <v>69</v>
      </c>
      <c r="C57" s="9">
        <v>105</v>
      </c>
      <c r="D57" s="9">
        <v>1</v>
      </c>
      <c r="E57" s="9">
        <v>54</v>
      </c>
      <c r="F57" s="9">
        <v>68</v>
      </c>
      <c r="G57" s="9">
        <v>75</v>
      </c>
      <c r="H57" s="10">
        <f t="shared" si="8"/>
        <v>0.7142857142857143</v>
      </c>
      <c r="I57" s="9">
        <v>150</v>
      </c>
      <c r="J57" s="9">
        <v>26</v>
      </c>
      <c r="K57" s="10">
        <f t="shared" si="1"/>
        <v>0.35135135135135137</v>
      </c>
      <c r="L57" s="9"/>
      <c r="M57" s="10">
        <f t="shared" si="2"/>
        <v>0</v>
      </c>
      <c r="N57" s="9"/>
      <c r="O57" s="10">
        <f t="shared" si="3"/>
        <v>0</v>
      </c>
      <c r="P57" s="9">
        <v>3</v>
      </c>
      <c r="Q57" s="10">
        <f t="shared" si="4"/>
        <v>4.0540540540540543E-2</v>
      </c>
      <c r="R57" s="9">
        <v>45</v>
      </c>
      <c r="S57" s="10">
        <f t="shared" si="5"/>
        <v>0.60810810810810811</v>
      </c>
      <c r="T57" s="9"/>
      <c r="U57" s="10">
        <f t="shared" si="6"/>
        <v>0</v>
      </c>
      <c r="V57" s="9">
        <f t="shared" si="7"/>
        <v>74</v>
      </c>
      <c r="W57" s="9">
        <v>1</v>
      </c>
    </row>
    <row r="58" spans="1:23" x14ac:dyDescent="0.3">
      <c r="A58" s="7" t="s">
        <v>13</v>
      </c>
      <c r="B58" s="8" t="s">
        <v>70</v>
      </c>
      <c r="C58" s="9">
        <v>1313</v>
      </c>
      <c r="D58" s="9">
        <v>3</v>
      </c>
      <c r="E58" s="9">
        <v>291</v>
      </c>
      <c r="F58" s="9">
        <v>604</v>
      </c>
      <c r="G58" s="9">
        <v>744</v>
      </c>
      <c r="H58" s="10">
        <f t="shared" si="8"/>
        <v>0.5666412795125666</v>
      </c>
      <c r="I58" s="9">
        <v>1200</v>
      </c>
      <c r="J58" s="9">
        <v>179</v>
      </c>
      <c r="K58" s="10">
        <f t="shared" si="1"/>
        <v>0.24757952973720609</v>
      </c>
      <c r="L58" s="9">
        <v>7</v>
      </c>
      <c r="M58" s="10">
        <f t="shared" si="2"/>
        <v>9.6818810511756573E-3</v>
      </c>
      <c r="N58" s="9">
        <v>1</v>
      </c>
      <c r="O58" s="10">
        <f t="shared" si="3"/>
        <v>1.3831258644536654E-3</v>
      </c>
      <c r="P58" s="9">
        <v>9</v>
      </c>
      <c r="Q58" s="10">
        <f t="shared" si="4"/>
        <v>1.2448132780082987E-2</v>
      </c>
      <c r="R58" s="9">
        <v>509</v>
      </c>
      <c r="S58" s="10">
        <f t="shared" si="5"/>
        <v>0.70401106500691568</v>
      </c>
      <c r="T58" s="9">
        <v>18</v>
      </c>
      <c r="U58" s="10">
        <f t="shared" si="6"/>
        <v>2.4896265560165973E-2</v>
      </c>
      <c r="V58" s="9">
        <f t="shared" si="7"/>
        <v>723</v>
      </c>
      <c r="W58" s="9">
        <v>21</v>
      </c>
    </row>
    <row r="59" spans="1:23" x14ac:dyDescent="0.3">
      <c r="A59" s="7" t="s">
        <v>13</v>
      </c>
      <c r="B59" s="8" t="s">
        <v>71</v>
      </c>
      <c r="C59" s="9">
        <v>1259</v>
      </c>
      <c r="D59" s="9">
        <v>1</v>
      </c>
      <c r="E59" s="9">
        <v>296</v>
      </c>
      <c r="F59" s="9">
        <v>600</v>
      </c>
      <c r="G59" s="9">
        <v>721</v>
      </c>
      <c r="H59" s="10">
        <f t="shared" si="8"/>
        <v>0.57267672756155674</v>
      </c>
      <c r="I59" s="9">
        <v>1100</v>
      </c>
      <c r="J59" s="9">
        <v>180</v>
      </c>
      <c r="K59" s="10">
        <f t="shared" si="1"/>
        <v>0.25787965616045844</v>
      </c>
      <c r="L59" s="9">
        <v>5</v>
      </c>
      <c r="M59" s="10">
        <f t="shared" si="2"/>
        <v>7.1633237822349575E-3</v>
      </c>
      <c r="N59" s="9"/>
      <c r="O59" s="10">
        <f t="shared" si="3"/>
        <v>0</v>
      </c>
      <c r="P59" s="9">
        <v>7</v>
      </c>
      <c r="Q59" s="10">
        <f t="shared" si="4"/>
        <v>1.0028653295128941E-2</v>
      </c>
      <c r="R59" s="9">
        <v>473</v>
      </c>
      <c r="S59" s="10">
        <f t="shared" si="5"/>
        <v>0.67765042979942691</v>
      </c>
      <c r="T59" s="9">
        <v>33</v>
      </c>
      <c r="U59" s="10">
        <f t="shared" si="6"/>
        <v>4.7277936962750719E-2</v>
      </c>
      <c r="V59" s="9">
        <f t="shared" si="7"/>
        <v>698</v>
      </c>
      <c r="W59" s="9">
        <v>23</v>
      </c>
    </row>
    <row r="60" spans="1:23" x14ac:dyDescent="0.3">
      <c r="A60" s="7" t="s">
        <v>13</v>
      </c>
      <c r="B60" s="8" t="s">
        <v>72</v>
      </c>
      <c r="C60" s="9">
        <v>761</v>
      </c>
      <c r="D60" s="9">
        <v>5</v>
      </c>
      <c r="E60" s="9">
        <v>170</v>
      </c>
      <c r="F60" s="9">
        <v>371</v>
      </c>
      <c r="G60" s="9">
        <v>480</v>
      </c>
      <c r="H60" s="10">
        <f t="shared" si="8"/>
        <v>0.63074901445466491</v>
      </c>
      <c r="I60" s="9">
        <v>700</v>
      </c>
      <c r="J60" s="9">
        <v>159</v>
      </c>
      <c r="K60" s="10">
        <f t="shared" si="1"/>
        <v>0.34640522875816993</v>
      </c>
      <c r="L60" s="9">
        <v>5</v>
      </c>
      <c r="M60" s="10">
        <f t="shared" si="2"/>
        <v>1.0893246187363835E-2</v>
      </c>
      <c r="N60" s="9"/>
      <c r="O60" s="10">
        <f t="shared" si="3"/>
        <v>0</v>
      </c>
      <c r="P60" s="9">
        <v>4</v>
      </c>
      <c r="Q60" s="10">
        <f t="shared" si="4"/>
        <v>8.7145969498910684E-3</v>
      </c>
      <c r="R60" s="9">
        <v>275</v>
      </c>
      <c r="S60" s="10">
        <f t="shared" si="5"/>
        <v>0.59912854030501095</v>
      </c>
      <c r="T60" s="9">
        <v>16</v>
      </c>
      <c r="U60" s="10">
        <f t="shared" si="6"/>
        <v>3.4858387799564274E-2</v>
      </c>
      <c r="V60" s="9">
        <f t="shared" si="7"/>
        <v>459</v>
      </c>
      <c r="W60" s="9">
        <v>21</v>
      </c>
    </row>
    <row r="61" spans="1:23" x14ac:dyDescent="0.3">
      <c r="A61" s="7" t="s">
        <v>13</v>
      </c>
      <c r="B61" s="8" t="s">
        <v>73</v>
      </c>
      <c r="C61" s="9">
        <v>648</v>
      </c>
      <c r="D61" s="9">
        <v>2</v>
      </c>
      <c r="E61" s="9">
        <v>173</v>
      </c>
      <c r="F61" s="9">
        <v>324</v>
      </c>
      <c r="G61" s="9">
        <v>377</v>
      </c>
      <c r="H61" s="10">
        <f t="shared" si="8"/>
        <v>0.58179012345679015</v>
      </c>
      <c r="I61" s="9">
        <v>600</v>
      </c>
      <c r="J61" s="9">
        <v>115</v>
      </c>
      <c r="K61" s="10">
        <f t="shared" si="1"/>
        <v>0.31506849315068491</v>
      </c>
      <c r="L61" s="9"/>
      <c r="M61" s="10">
        <f t="shared" si="2"/>
        <v>0</v>
      </c>
      <c r="N61" s="9">
        <v>1</v>
      </c>
      <c r="O61" s="10">
        <f t="shared" si="3"/>
        <v>2.7397260273972603E-3</v>
      </c>
      <c r="P61" s="9">
        <v>1</v>
      </c>
      <c r="Q61" s="10">
        <f t="shared" si="4"/>
        <v>2.7397260273972603E-3</v>
      </c>
      <c r="R61" s="9">
        <v>242</v>
      </c>
      <c r="S61" s="10">
        <f t="shared" si="5"/>
        <v>0.66301369863013704</v>
      </c>
      <c r="T61" s="9">
        <v>6</v>
      </c>
      <c r="U61" s="10">
        <f t="shared" si="6"/>
        <v>1.643835616438356E-2</v>
      </c>
      <c r="V61" s="9">
        <f t="shared" si="7"/>
        <v>365</v>
      </c>
      <c r="W61" s="9">
        <v>12</v>
      </c>
    </row>
    <row r="62" spans="1:23" s="2" customFormat="1" x14ac:dyDescent="0.3">
      <c r="A62" s="11" t="s">
        <v>7</v>
      </c>
      <c r="B62" s="11"/>
      <c r="C62" s="12">
        <f t="shared" ref="C62:W62" si="9">SUM(C2:C61)</f>
        <v>48123</v>
      </c>
      <c r="D62" s="13">
        <f t="shared" si="9"/>
        <v>118</v>
      </c>
      <c r="E62" s="13">
        <f t="shared" si="9"/>
        <v>11802</v>
      </c>
      <c r="F62" s="13">
        <f t="shared" si="9"/>
        <v>23569</v>
      </c>
      <c r="G62" s="13">
        <f t="shared" si="9"/>
        <v>27932</v>
      </c>
      <c r="H62" s="14">
        <f t="shared" si="8"/>
        <v>0.58042931654302521</v>
      </c>
      <c r="I62" s="13">
        <f t="shared" si="9"/>
        <v>44000</v>
      </c>
      <c r="J62" s="13">
        <f t="shared" si="9"/>
        <v>10417</v>
      </c>
      <c r="K62" s="14">
        <f t="shared" si="1"/>
        <v>0.38378219062004937</v>
      </c>
      <c r="L62" s="13">
        <f t="shared" si="9"/>
        <v>124</v>
      </c>
      <c r="M62" s="14">
        <f t="shared" si="2"/>
        <v>4.5683970084367974E-3</v>
      </c>
      <c r="N62" s="13">
        <f t="shared" si="9"/>
        <v>60</v>
      </c>
      <c r="O62" s="14">
        <f t="shared" si="3"/>
        <v>2.2105146815016765E-3</v>
      </c>
      <c r="P62" s="13">
        <f t="shared" si="9"/>
        <v>399</v>
      </c>
      <c r="Q62" s="14">
        <f t="shared" si="4"/>
        <v>1.4699922631986148E-2</v>
      </c>
      <c r="R62" s="13">
        <f t="shared" si="9"/>
        <v>15705</v>
      </c>
      <c r="S62" s="14">
        <f t="shared" si="5"/>
        <v>0.57860221788306376</v>
      </c>
      <c r="T62" s="13">
        <f t="shared" si="9"/>
        <v>438</v>
      </c>
      <c r="U62" s="14">
        <f t="shared" si="6"/>
        <v>1.6136757174962237E-2</v>
      </c>
      <c r="V62" s="13">
        <f t="shared" si="9"/>
        <v>27143</v>
      </c>
      <c r="W62" s="13">
        <f t="shared" si="9"/>
        <v>776</v>
      </c>
    </row>
    <row r="63" spans="1:23" x14ac:dyDescent="0.3">
      <c r="R63" s="6"/>
      <c r="S63" s="6"/>
    </row>
  </sheetData>
  <sheetProtection insertColumns="0" insertRows="0" deleteColumns="0" deleteRows="0"/>
  <conditionalFormatting sqref="F2:G61">
    <cfRule type="expression" dxfId="0" priority="4">
      <formula>F2&lt;E2</formula>
    </cfRule>
  </conditionalFormatting>
  <pageMargins left="0.2" right="0.2" top="0.5" bottom="0.5" header="0.3" footer="0.3"/>
  <pageSetup paperSize="9" orientation="landscape" horizontalDpi="4294967295" verticalDpi="4294967295" r:id="rId1"/>
  <ignoredErrors>
    <ignoredError sqref="H2:H61 K2:K61 O2:U61" unlockedFormula="1"/>
    <ignoredError sqref="M62" formula="1"/>
    <ignoredError sqref="M2:M61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სამუშაო ფურცლები</vt:lpstr>
      </vt:variant>
      <vt:variant>
        <vt:i4>1</vt:i4>
      </vt:variant>
      <vt:variant>
        <vt:lpstr>დასათაურებული დიაპაზონები</vt:lpstr>
      </vt:variant>
      <vt:variant>
        <vt:i4>1</vt:i4>
      </vt:variant>
    </vt:vector>
  </HeadingPairs>
  <TitlesOfParts>
    <vt:vector size="2" baseType="lpstr">
      <vt:lpstr>maJoritaeuli</vt:lpstr>
      <vt:lpstr>maJoritaeuli!ამოსაბეჭდი_წარწერები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2017-10-15T13:03:23Z</cp:lastPrinted>
  <dcterms:created xsi:type="dcterms:W3CDTF">2014-07-31T10:11:31Z</dcterms:created>
  <dcterms:modified xsi:type="dcterms:W3CDTF">2021-03-22T15:24:34Z</dcterms:modified>
</cp:coreProperties>
</file>