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2951383D-4791-42BC-86CD-E7E0CB306E81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შედეგები" sheetId="4" r:id="rId1"/>
    <sheet name="კანდიდატი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5" l="1"/>
  <c r="E10" i="5"/>
  <c r="E9" i="5"/>
  <c r="E8" i="5"/>
  <c r="E7" i="5"/>
  <c r="E6" i="5"/>
  <c r="E5" i="5"/>
  <c r="E4" i="5"/>
  <c r="E3" i="5"/>
  <c r="E2" i="5"/>
  <c r="R3" i="4"/>
  <c r="R2" i="4"/>
</calcChain>
</file>

<file path=xl/sharedStrings.xml><?xml version="1.0" encoding="utf-8"?>
<sst xmlns="http://schemas.openxmlformats.org/spreadsheetml/2006/main" count="43" uniqueCount="34">
  <si>
    <t>ოლქის N და დასახელება</t>
  </si>
  <si>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</si>
  <si>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</si>
  <si>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</si>
  <si>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მონაწილე 12 სთ.</t>
  </si>
  <si>
    <t>მონაწილე 17 სთ.</t>
  </si>
  <si>
    <t>არჩევნებში მონაწილეთა რაოდენობა</t>
  </si>
  <si>
    <t>მიღებული ბიულეტენების რაოდენობა</t>
  </si>
  <si>
    <t>ბათილი</t>
  </si>
  <si>
    <t xml:space="preserve">მაჟორიტარული ოლქის N </t>
  </si>
  <si>
    <t>%</t>
  </si>
  <si>
    <t>vote_7</t>
  </si>
  <si>
    <t>vote_8</t>
  </si>
  <si>
    <t>vote_41</t>
  </si>
  <si>
    <t>vote_45</t>
  </si>
  <si>
    <t>vote_42</t>
  </si>
  <si>
    <t>vote_43</t>
  </si>
  <si>
    <t>Party</t>
  </si>
  <si>
    <t>კანდიდატი</t>
  </si>
  <si>
    <t>უფლის სახელით - უფალია ჩვენი სიმართლე</t>
  </si>
  <si>
    <t>დავით თარხან-მოურავი, ირმა ინაშვილი - საქართველოს პატრიოტთა ალიანსი</t>
  </si>
  <si>
    <t>ქართული ოცნება</t>
  </si>
  <si>
    <t>დამოუკიდებელი კანდიდატი</t>
  </si>
  <si>
    <t>7. მანანა ასანიშვილი</t>
  </si>
  <si>
    <t>8. ამირანი საგინაშვილი</t>
  </si>
  <si>
    <t>41. ზაზა ჩიხლაძე</t>
  </si>
  <si>
    <t>45. მალხაზ გრძელიშვილი</t>
  </si>
  <si>
    <t>41. მზია ნინიაშვილი</t>
  </si>
  <si>
    <t>41. რაული ძაგნიძე</t>
  </si>
  <si>
    <t>42. თამაზი სანადირაძე</t>
  </si>
  <si>
    <t>43. კონსტანტინე გურგენიძე</t>
  </si>
  <si>
    <t>8. ტარიელი ზარანდია</t>
  </si>
  <si>
    <t>41. მელორი გელანტია</t>
  </si>
  <si>
    <t>maj_id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</si>
</sst>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0" borderId="0" xfId="0" applyFont="1"/>
    <xf numFmtId="2" fontId="0" fillId="0" borderId="1" xfId="0" applyNumberFormat="1" applyBorder="1"/>
  </cellXfs>
  <cellStyles count="1">
    <cellStyle name="Normal" xfId="0" builtinId="0"/>
  </cellStyles>
  <dxfs count="6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"/>
  <sheetViews>
    <sheetView showZeros="0" workbookViewId="0">
      <selection activeCell="A9" sqref="A2:A9"/>
    </sheetView>
  </sheetViews>
  <sheetFormatPr defaultRowHeight="14.6" x14ac:dyDescent="0.4"/>
  <cols>
    <col min="2" max="2" width="15.07421875" bestFit="1" customWidth="1"/>
    <col min="3" max="3" width="16.84375" customWidth="1"/>
    <col min="4" max="4" width="10.4609375" customWidth="1"/>
    <col min="5" max="5" width="20.07421875" customWidth="1"/>
    <col min="6" max="6" width="22.3046875" customWidth="1"/>
    <col min="7" max="7" width="12.53515625" customWidth="1"/>
    <col min="8" max="8" width="12.84375" customWidth="1"/>
    <col min="9" max="9" width="15.53515625" customWidth="1"/>
    <col min="10" max="10" width="18.07421875" customWidth="1"/>
    <col min="11" max="11" width="3" bestFit="1" customWidth="1"/>
    <col min="12" max="14" width="4" bestFit="1" customWidth="1"/>
    <col min="15" max="16" width="4" customWidth="1"/>
    <col min="17" max="17" width="10.3046875" bestFit="1" customWidth="1"/>
    <col min="18" max="18" width="0" hidden="1" customWidth="1"/>
  </cols>
  <sheetData>
    <row r="1" spans="1:18" ht="47.6" x14ac:dyDescent="0.4">
      <c r="A1" t="s">
        <v>33</v>
      </c>
      <c r="B1" s="4" t="s">
        <v>0</v>
      </c>
      <c r="C1" s="4" t="s">
        <v>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4" t="s">
        <v>8</v>
      </c>
      <c r="R1" s="5" t="s">
        <v>10</v>
      </c>
    </row>
    <row r="2" spans="1:18" ht="15.9" x14ac:dyDescent="0.5">
      <c r="A2">
        <v>1112</v>
      </c>
      <c r="B2" s="3">
        <v>11</v>
      </c>
      <c r="C2" s="1">
        <v>12</v>
      </c>
      <c r="D2" s="1">
        <v>28</v>
      </c>
      <c r="E2" s="1">
        <v>788</v>
      </c>
      <c r="F2" s="1">
        <v>2</v>
      </c>
      <c r="G2" s="1">
        <v>130</v>
      </c>
      <c r="H2" s="1">
        <v>344</v>
      </c>
      <c r="I2" s="1">
        <v>451</v>
      </c>
      <c r="J2" s="1">
        <v>750</v>
      </c>
      <c r="K2" s="1">
        <v>10</v>
      </c>
      <c r="L2" s="1">
        <v>139</v>
      </c>
      <c r="M2" s="1">
        <v>171</v>
      </c>
      <c r="N2" s="1">
        <v>106</v>
      </c>
      <c r="O2" s="1"/>
      <c r="P2" s="1"/>
      <c r="Q2" s="1">
        <v>23</v>
      </c>
      <c r="R2" s="7">
        <f>Q2*100/I2</f>
        <v>5.0997782705099777</v>
      </c>
    </row>
    <row r="3" spans="1:18" ht="15.9" x14ac:dyDescent="0.5">
      <c r="A3">
        <v>1112</v>
      </c>
      <c r="B3" s="3">
        <v>11</v>
      </c>
      <c r="C3" s="1">
        <v>12</v>
      </c>
      <c r="D3" s="1">
        <v>29</v>
      </c>
      <c r="E3" s="1">
        <v>749</v>
      </c>
      <c r="F3" s="1">
        <v>2</v>
      </c>
      <c r="G3" s="1">
        <v>171</v>
      </c>
      <c r="H3" s="1">
        <v>396</v>
      </c>
      <c r="I3" s="1">
        <v>485</v>
      </c>
      <c r="J3" s="1">
        <v>700</v>
      </c>
      <c r="K3" s="1">
        <v>21</v>
      </c>
      <c r="L3" s="1">
        <v>30</v>
      </c>
      <c r="M3" s="1">
        <v>226</v>
      </c>
      <c r="N3" s="1">
        <v>179</v>
      </c>
      <c r="O3" s="1"/>
      <c r="P3" s="1"/>
      <c r="Q3" s="1">
        <v>24</v>
      </c>
      <c r="R3" s="7">
        <f>Q3*100/I3</f>
        <v>4.9484536082474229</v>
      </c>
    </row>
    <row r="4" spans="1:18" x14ac:dyDescent="0.4">
      <c r="A4">
        <v>2406</v>
      </c>
      <c r="B4" s="1">
        <v>24</v>
      </c>
      <c r="C4" s="1">
        <v>6</v>
      </c>
      <c r="D4" s="1">
        <v>16</v>
      </c>
      <c r="E4" s="1">
        <v>478</v>
      </c>
      <c r="F4" s="1">
        <v>0</v>
      </c>
      <c r="G4" s="1">
        <v>32</v>
      </c>
      <c r="H4" s="1">
        <v>100</v>
      </c>
      <c r="I4" s="1">
        <v>142</v>
      </c>
      <c r="J4" s="1">
        <v>500</v>
      </c>
      <c r="M4" s="1">
        <v>135</v>
      </c>
      <c r="Q4" s="1">
        <v>7</v>
      </c>
    </row>
    <row r="5" spans="1:18" x14ac:dyDescent="0.4">
      <c r="A5">
        <v>2406</v>
      </c>
      <c r="B5" s="1">
        <v>24</v>
      </c>
      <c r="C5" s="1">
        <v>6</v>
      </c>
      <c r="D5" s="1">
        <v>17</v>
      </c>
      <c r="E5" s="1">
        <v>678</v>
      </c>
      <c r="F5" s="1">
        <v>0</v>
      </c>
      <c r="G5" s="1">
        <v>40</v>
      </c>
      <c r="H5" s="1">
        <v>160</v>
      </c>
      <c r="I5" s="1">
        <v>222</v>
      </c>
      <c r="J5" s="1">
        <v>650</v>
      </c>
      <c r="M5" s="1">
        <v>221</v>
      </c>
      <c r="Q5" s="1">
        <v>1</v>
      </c>
    </row>
    <row r="6" spans="1:18" x14ac:dyDescent="0.4">
      <c r="A6">
        <v>2406</v>
      </c>
      <c r="B6" s="1">
        <v>24</v>
      </c>
      <c r="C6" s="1">
        <v>6</v>
      </c>
      <c r="D6" s="1">
        <v>18</v>
      </c>
      <c r="E6" s="1">
        <v>131</v>
      </c>
      <c r="F6" s="1">
        <v>4</v>
      </c>
      <c r="G6" s="1">
        <v>43</v>
      </c>
      <c r="H6" s="1">
        <v>62</v>
      </c>
      <c r="I6" s="1">
        <v>70</v>
      </c>
      <c r="J6" s="1">
        <v>150</v>
      </c>
      <c r="M6" s="1">
        <v>68</v>
      </c>
      <c r="Q6" s="1">
        <v>2</v>
      </c>
    </row>
    <row r="7" spans="1:18" x14ac:dyDescent="0.4">
      <c r="A7">
        <v>2406</v>
      </c>
      <c r="B7" s="1">
        <v>24</v>
      </c>
      <c r="C7" s="1">
        <v>6</v>
      </c>
      <c r="D7" s="1">
        <v>49</v>
      </c>
      <c r="E7" s="1">
        <v>334</v>
      </c>
      <c r="F7" s="1">
        <v>1</v>
      </c>
      <c r="G7" s="1">
        <v>34</v>
      </c>
      <c r="H7" s="1">
        <v>113</v>
      </c>
      <c r="I7" s="1">
        <v>133</v>
      </c>
      <c r="J7" s="1">
        <v>350</v>
      </c>
      <c r="M7" s="1">
        <v>129</v>
      </c>
      <c r="Q7" s="1">
        <v>4</v>
      </c>
    </row>
    <row r="8" spans="1:18" x14ac:dyDescent="0.4">
      <c r="A8">
        <v>5307</v>
      </c>
      <c r="B8" s="1">
        <v>53</v>
      </c>
      <c r="C8" s="1">
        <v>7</v>
      </c>
      <c r="D8" s="1">
        <v>10</v>
      </c>
      <c r="E8" s="1">
        <v>1175</v>
      </c>
      <c r="F8" s="1">
        <v>0</v>
      </c>
      <c r="G8" s="1">
        <v>247</v>
      </c>
      <c r="H8" s="1">
        <v>475</v>
      </c>
      <c r="I8" s="1">
        <v>559</v>
      </c>
      <c r="J8" s="1">
        <v>1100</v>
      </c>
      <c r="M8" s="1">
        <v>367</v>
      </c>
      <c r="O8" s="1">
        <v>4</v>
      </c>
      <c r="P8" s="1">
        <v>160</v>
      </c>
      <c r="Q8" s="1">
        <v>28</v>
      </c>
    </row>
    <row r="9" spans="1:18" x14ac:dyDescent="0.4">
      <c r="A9">
        <v>6606</v>
      </c>
      <c r="B9" s="1">
        <v>66</v>
      </c>
      <c r="C9" s="1">
        <v>6</v>
      </c>
      <c r="D9" s="1">
        <v>8</v>
      </c>
      <c r="E9" s="1">
        <v>822</v>
      </c>
      <c r="F9" s="1">
        <v>0</v>
      </c>
      <c r="G9" s="1">
        <v>165</v>
      </c>
      <c r="H9" s="1">
        <v>365</v>
      </c>
      <c r="I9" s="1">
        <v>445</v>
      </c>
      <c r="J9" s="1">
        <v>750</v>
      </c>
      <c r="L9" s="1">
        <v>115</v>
      </c>
      <c r="M9" s="1">
        <v>318</v>
      </c>
      <c r="O9" s="7"/>
      <c r="Q9" s="1">
        <v>12</v>
      </c>
    </row>
    <row r="10" spans="1:18" x14ac:dyDescent="0.4">
      <c r="B10" s="2"/>
    </row>
    <row r="11" spans="1:18" x14ac:dyDescent="0.4">
      <c r="B11" s="2"/>
    </row>
    <row r="12" spans="1:18" x14ac:dyDescent="0.4">
      <c r="B12" s="6"/>
    </row>
  </sheetData>
  <conditionalFormatting sqref="B2:B3">
    <cfRule type="expression" dxfId="5" priority="5">
      <formula>$C2="ჯამი"</formula>
    </cfRule>
  </conditionalFormatting>
  <conditionalFormatting sqref="C2:Q3 Q4:Q7 M4:M8 B4:J9 O8:Q8 L9:M9 Q9">
    <cfRule type="expression" dxfId="4" priority="6">
      <formula>$D2="ჯამი"</formula>
    </cfRule>
  </conditionalFormatting>
  <pageMargins left="0.17" right="0.1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15E9-A018-425D-ADD0-9D8E04BFCB10}">
  <dimension ref="A1:E11"/>
  <sheetViews>
    <sheetView tabSelected="1" workbookViewId="0"/>
  </sheetViews>
  <sheetFormatPr defaultRowHeight="14.6" x14ac:dyDescent="0.4"/>
  <sheetData>
    <row r="1" spans="1:5" ht="79.3" x14ac:dyDescent="0.4">
      <c r="A1" s="4" t="s">
        <v>0</v>
      </c>
      <c r="B1" s="4" t="s">
        <v>9</v>
      </c>
      <c r="C1" t="s">
        <v>17</v>
      </c>
      <c r="D1" t="s">
        <v>18</v>
      </c>
      <c r="E1" t="s">
        <v>33</v>
      </c>
    </row>
    <row r="2" spans="1:5" ht="15.9" x14ac:dyDescent="0.5">
      <c r="A2" s="3">
        <v>11</v>
      </c>
      <c r="B2" s="1">
        <v>12</v>
      </c>
      <c r="C2" t="s">
        <v>19</v>
      </c>
      <c r="D2" t="s">
        <v>23</v>
      </c>
      <c r="E2">
        <f>A2*100+B2</f>
        <v>1112</v>
      </c>
    </row>
    <row r="3" spans="1:5" ht="15.9" x14ac:dyDescent="0.5">
      <c r="A3" s="3">
        <v>11</v>
      </c>
      <c r="B3" s="1">
        <v>12</v>
      </c>
      <c r="C3" t="s">
        <v>20</v>
      </c>
      <c r="D3" t="s">
        <v>24</v>
      </c>
      <c r="E3">
        <f t="shared" ref="E3:E11" si="0">A3*100+B3</f>
        <v>1112</v>
      </c>
    </row>
    <row r="4" spans="1:5" ht="15.9" x14ac:dyDescent="0.5">
      <c r="A4" s="3">
        <v>11</v>
      </c>
      <c r="B4" s="1">
        <v>12</v>
      </c>
      <c r="C4" t="s">
        <v>21</v>
      </c>
      <c r="D4" t="s">
        <v>25</v>
      </c>
      <c r="E4">
        <f t="shared" si="0"/>
        <v>1112</v>
      </c>
    </row>
    <row r="5" spans="1:5" ht="15.9" x14ac:dyDescent="0.5">
      <c r="A5" s="3">
        <v>11</v>
      </c>
      <c r="B5" s="1">
        <v>12</v>
      </c>
      <c r="C5" t="s">
        <v>22</v>
      </c>
      <c r="D5" t="s">
        <v>26</v>
      </c>
      <c r="E5">
        <f t="shared" si="0"/>
        <v>1112</v>
      </c>
    </row>
    <row r="6" spans="1:5" x14ac:dyDescent="0.4">
      <c r="A6" s="1">
        <v>24</v>
      </c>
      <c r="B6" s="1">
        <v>6</v>
      </c>
      <c r="C6" t="s">
        <v>21</v>
      </c>
      <c r="D6" t="s">
        <v>27</v>
      </c>
      <c r="E6">
        <f t="shared" si="0"/>
        <v>2406</v>
      </c>
    </row>
    <row r="7" spans="1:5" x14ac:dyDescent="0.4">
      <c r="A7" s="1">
        <v>53</v>
      </c>
      <c r="B7" s="1">
        <v>7</v>
      </c>
      <c r="C7" t="s">
        <v>21</v>
      </c>
      <c r="D7" t="s">
        <v>28</v>
      </c>
      <c r="E7">
        <f t="shared" si="0"/>
        <v>5307</v>
      </c>
    </row>
    <row r="8" spans="1:5" x14ac:dyDescent="0.4">
      <c r="A8" s="1">
        <v>53</v>
      </c>
      <c r="B8" s="1">
        <v>7</v>
      </c>
      <c r="C8" t="s">
        <v>22</v>
      </c>
      <c r="D8" t="s">
        <v>29</v>
      </c>
      <c r="E8">
        <f t="shared" si="0"/>
        <v>5307</v>
      </c>
    </row>
    <row r="9" spans="1:5" x14ac:dyDescent="0.4">
      <c r="A9" s="1">
        <v>53</v>
      </c>
      <c r="B9" s="1">
        <v>7</v>
      </c>
      <c r="C9" t="s">
        <v>22</v>
      </c>
      <c r="D9" t="s">
        <v>30</v>
      </c>
      <c r="E9">
        <f t="shared" si="0"/>
        <v>5307</v>
      </c>
    </row>
    <row r="10" spans="1:5" x14ac:dyDescent="0.4">
      <c r="A10" s="1">
        <v>66</v>
      </c>
      <c r="B10" s="1">
        <v>6</v>
      </c>
      <c r="C10" t="s">
        <v>20</v>
      </c>
      <c r="D10" t="s">
        <v>31</v>
      </c>
      <c r="E10">
        <f t="shared" si="0"/>
        <v>6606</v>
      </c>
    </row>
    <row r="11" spans="1:5" x14ac:dyDescent="0.4">
      <c r="A11" s="1">
        <v>66</v>
      </c>
      <c r="B11" s="1">
        <v>6</v>
      </c>
      <c r="C11" t="s">
        <v>21</v>
      </c>
      <c r="D11" t="s">
        <v>32</v>
      </c>
      <c r="E11">
        <f t="shared" si="0"/>
        <v>6606</v>
      </c>
    </row>
  </sheetData>
  <conditionalFormatting sqref="A2:A5">
    <cfRule type="expression" dxfId="3" priority="2">
      <formula>$B2="ჯამი"</formula>
    </cfRule>
  </conditionalFormatting>
  <conditionalFormatting sqref="A6:B9">
    <cfRule type="expression" dxfId="2" priority="7">
      <formula>$C4="ჯამი"</formula>
    </cfRule>
  </conditionalFormatting>
  <conditionalFormatting sqref="A10:B11">
    <cfRule type="expression" dxfId="1" priority="9">
      <formula>$C6="ჯამი"</formula>
    </cfRule>
  </conditionalFormatting>
  <conditionalFormatting sqref="B2:B5">
    <cfRule type="expression" dxfId="0" priority="3">
      <formula>$C2="ჯამი"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შედეგები</vt:lpstr>
      <vt:lpstr>კანდიდატი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2015-11-04T10:18:43Z</cp:lastPrinted>
  <dcterms:created xsi:type="dcterms:W3CDTF">2015-11-02T08:27:13Z</dcterms:created>
  <dcterms:modified xsi:type="dcterms:W3CDTF">2026-05-12T16:55:28Z</dcterms:modified>
</cp:coreProperties>
</file>