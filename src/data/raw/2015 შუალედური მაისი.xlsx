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My Drive\Election portal data sets\Election results\შედეგები\"/>
    </mc:Choice>
  </mc:AlternateContent>
  <xr:revisionPtr revIDLastSave="0" documentId="13_ncr:1_{A777A3B7-F1F2-4DE4-805C-D4AC49C8BCAA}" xr6:coauthVersionLast="47" xr6:coauthVersionMax="47" xr10:uidLastSave="{00000000-0000-0000-0000-000000000000}"/>
  <bookViews>
    <workbookView xWindow="1491" yWindow="540" windowWidth="28775" windowHeight="17254" activeTab="1" xr2:uid="{00000000-000D-0000-FFFF-FFFF00000000}"/>
  </bookViews>
  <sheets>
    <sheet name="64.13 ფოცხო" sheetId="4" r:id="rId1"/>
    <sheet name="Candidates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4" l="1"/>
  <c r="O2" i="4"/>
</calcChain>
</file>

<file path=xl/sharedStrings.xml><?xml version="1.0" encoding="utf-8"?>
<sst xmlns="http://schemas.openxmlformats.org/spreadsheetml/2006/main" count="33" uniqueCount="28">
  <si>
    <t>ოლქის N და დასახელება</t>
  </si>
  <si>
    <t>უბნის N</t>
  </si>
  <si>
    <t>ამომრჩეველთა რაოდენობა ერთიან სიაში</t>
  </si>
  <si>
    <t>ამომრჩეველთა რაოდენობა სპეციალურ სიაში</t>
  </si>
  <si>
    <t>მონაწილე 12 სთ.</t>
  </si>
  <si>
    <t>მონაწილე 17 სთ.</t>
  </si>
  <si>
    <t>არჩევნებში მონაწილეთა რაოდენობა</t>
  </si>
  <si>
    <t>მიღებული ბიულეტენების რაოდენობა</t>
  </si>
  <si>
    <t>ბათილი</t>
  </si>
  <si>
    <t xml:space="preserve">მაჟორიტარული ოლქის N </t>
  </si>
  <si>
    <t>%</t>
  </si>
  <si>
    <t>vote_1</t>
  </si>
  <si>
    <t>vote_5</t>
  </si>
  <si>
    <t>vote_41</t>
  </si>
  <si>
    <t>vote_42</t>
  </si>
  <si>
    <t>Party</t>
  </si>
  <si>
    <t>1 თავისუფალი საქართველო</t>
  </si>
  <si>
    <t>5 ერთიანი ნაციონალური მოძრაობა</t>
  </si>
  <si>
    <t>41 ქართული ოცნება</t>
  </si>
  <si>
    <t>42 დამოუკიდებელი კანდიდატი</t>
  </si>
  <si>
    <t>კანდიდატი</t>
  </si>
  <si>
    <t>ემალი ყურაშვილი</t>
  </si>
  <si>
    <t>ხვიჩა სანაია</t>
  </si>
  <si>
    <t>მალხაზი ტორჩინავა</t>
  </si>
  <si>
    <t>კაპიტონი ტორჩინავა</t>
  </si>
  <si>
    <t>ბაჩუკი ნარუშვილი</t>
  </si>
  <si>
    <t>კობა ბულია</t>
  </si>
  <si>
    <t>ვასილ გაბისონია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</si>
</sst>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Sylfaen"/>
      <family val="1"/>
    </font>
    <font>
      <b/>
      <sz val="11"/>
      <color theme="1"/>
      <name val="Sylfaen"/>
      <family val="1"/>
    </font>
    <font>
      <sz val="11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0" xfId="0" applyFont="1" applyAlignment="1">
      <alignment vertical="center"/>
    </xf>
    <xf numFmtId="0" fontId="3" fillId="0" borderId="1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1" fillId="0" borderId="0" xfId="0" applyFont="1"/>
    <xf numFmtId="2" fontId="0" fillId="0" borderId="1" xfId="0" applyNumberFormat="1" applyBorder="1"/>
  </cellXfs>
  <cellStyles count="1">
    <cellStyle name="Normal" xfId="0" builtinId="0"/>
  </cellStyles>
  <dxfs count="7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showZeros="0" workbookViewId="0">
      <selection sqref="A1:B1"/>
    </sheetView>
  </sheetViews>
  <sheetFormatPr defaultRowHeight="14.6" x14ac:dyDescent="0.4"/>
  <cols>
    <col min="1" max="1" width="15.07421875" bestFit="1" customWidth="1"/>
    <col min="2" max="2" width="16.84375" customWidth="1"/>
    <col min="3" max="3" width="10.4609375" customWidth="1"/>
    <col min="4" max="4" width="20.07421875" customWidth="1"/>
    <col min="5" max="5" width="22.3046875" customWidth="1"/>
    <col min="6" max="6" width="12.53515625" customWidth="1"/>
    <col min="7" max="7" width="12.84375" customWidth="1"/>
    <col min="8" max="8" width="15.53515625" customWidth="1"/>
    <col min="9" max="9" width="18.07421875" customWidth="1"/>
    <col min="10" max="13" width="4" bestFit="1" customWidth="1"/>
    <col min="14" max="14" width="10.3046875" bestFit="1" customWidth="1"/>
    <col min="15" max="15" width="0" hidden="1" customWidth="1"/>
  </cols>
  <sheetData>
    <row r="1" spans="1:15" ht="47.6" x14ac:dyDescent="0.4">
      <c r="A1" s="4" t="s">
        <v>0</v>
      </c>
      <c r="B1" s="4" t="s">
        <v>9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5" t="s">
        <v>11</v>
      </c>
      <c r="K1" s="5" t="s">
        <v>12</v>
      </c>
      <c r="L1" s="5" t="s">
        <v>13</v>
      </c>
      <c r="M1" s="5" t="s">
        <v>14</v>
      </c>
      <c r="N1" s="4" t="s">
        <v>8</v>
      </c>
      <c r="O1" s="5" t="s">
        <v>10</v>
      </c>
    </row>
    <row r="2" spans="1:15" ht="15.9" x14ac:dyDescent="0.5">
      <c r="A2" s="3">
        <v>64</v>
      </c>
      <c r="B2" s="1">
        <v>13</v>
      </c>
      <c r="C2" s="1">
        <v>34</v>
      </c>
      <c r="D2" s="1">
        <v>626</v>
      </c>
      <c r="E2" s="1">
        <v>0</v>
      </c>
      <c r="F2" s="1">
        <v>282</v>
      </c>
      <c r="G2" s="1">
        <v>478</v>
      </c>
      <c r="H2" s="1">
        <v>488</v>
      </c>
      <c r="I2" s="1">
        <v>600</v>
      </c>
      <c r="J2" s="1">
        <v>42</v>
      </c>
      <c r="K2" s="1">
        <v>15</v>
      </c>
      <c r="L2" s="1">
        <v>204</v>
      </c>
      <c r="M2" s="1">
        <v>210</v>
      </c>
      <c r="N2" s="1">
        <v>17</v>
      </c>
      <c r="O2" s="7">
        <f>N2*100/H2</f>
        <v>3.4836065573770494</v>
      </c>
    </row>
    <row r="3" spans="1:15" ht="15.9" x14ac:dyDescent="0.5">
      <c r="A3" s="3">
        <v>64</v>
      </c>
      <c r="B3" s="1">
        <v>13</v>
      </c>
      <c r="C3" s="1">
        <v>35</v>
      </c>
      <c r="D3" s="1">
        <v>689</v>
      </c>
      <c r="E3" s="1">
        <v>1</v>
      </c>
      <c r="F3" s="1">
        <v>259</v>
      </c>
      <c r="G3" s="1">
        <v>443</v>
      </c>
      <c r="H3" s="1">
        <v>491</v>
      </c>
      <c r="I3" s="1">
        <v>650</v>
      </c>
      <c r="J3" s="1">
        <v>128</v>
      </c>
      <c r="K3" s="1">
        <v>76</v>
      </c>
      <c r="L3" s="1">
        <v>266</v>
      </c>
      <c r="M3" s="1">
        <v>15</v>
      </c>
      <c r="N3" s="1">
        <v>6</v>
      </c>
      <c r="O3" s="7">
        <f>N3*100/H3</f>
        <v>1.2219959266802445</v>
      </c>
    </row>
    <row r="4" spans="1:15" x14ac:dyDescent="0.4">
      <c r="A4" s="1">
        <v>67</v>
      </c>
      <c r="B4" s="1">
        <v>11</v>
      </c>
      <c r="C4" s="1">
        <v>45</v>
      </c>
      <c r="D4" s="1">
        <v>1152</v>
      </c>
      <c r="E4" s="1">
        <v>0</v>
      </c>
      <c r="F4" s="1">
        <v>217</v>
      </c>
      <c r="G4" s="1">
        <v>548</v>
      </c>
      <c r="H4" s="1">
        <v>731</v>
      </c>
      <c r="I4" s="1">
        <v>1100</v>
      </c>
      <c r="J4" s="1">
        <v>4</v>
      </c>
      <c r="K4" s="1">
        <v>305</v>
      </c>
      <c r="L4" s="1">
        <v>410</v>
      </c>
      <c r="N4" s="1">
        <v>12</v>
      </c>
    </row>
    <row r="9" spans="1:15" x14ac:dyDescent="0.4">
      <c r="A9" s="2"/>
    </row>
    <row r="10" spans="1:15" x14ac:dyDescent="0.4">
      <c r="A10" s="2"/>
    </row>
    <row r="11" spans="1:15" x14ac:dyDescent="0.4">
      <c r="A11" s="2"/>
    </row>
    <row r="12" spans="1:15" x14ac:dyDescent="0.4">
      <c r="A12" s="6"/>
    </row>
  </sheetData>
  <conditionalFormatting sqref="A2:A3">
    <cfRule type="expression" dxfId="6" priority="5">
      <formula>$B2="ჯამი"</formula>
    </cfRule>
  </conditionalFormatting>
  <conditionalFormatting sqref="A4:L4">
    <cfRule type="expression" dxfId="5" priority="1">
      <formula>$C4="ჯამი"</formula>
    </cfRule>
  </conditionalFormatting>
  <conditionalFormatting sqref="B2:N3 N4">
    <cfRule type="expression" dxfId="4" priority="6">
      <formula>$C2="ჯამი"</formula>
    </cfRule>
  </conditionalFormatting>
  <pageMargins left="0.17" right="0.1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BEFDF-598D-4949-AE69-03E5187C8320}">
  <dimension ref="A1:D8"/>
  <sheetViews>
    <sheetView tabSelected="1" workbookViewId="0"/>
  </sheetViews>
  <sheetFormatPr defaultRowHeight="14.6" x14ac:dyDescent="0.4"/>
  <sheetData>
    <row r="1" spans="1:4" ht="79.3" x14ac:dyDescent="0.4">
      <c r="A1" s="4" t="s">
        <v>0</v>
      </c>
      <c r="B1" s="4" t="s">
        <v>9</v>
      </c>
      <c r="C1" t="s">
        <v>15</v>
      </c>
      <c r="D1" t="s">
        <v>20</v>
      </c>
    </row>
    <row r="2" spans="1:4" ht="15.9" x14ac:dyDescent="0.5">
      <c r="A2" s="3">
        <v>64</v>
      </c>
      <c r="B2" s="1">
        <v>13</v>
      </c>
      <c r="C2" t="s">
        <v>16</v>
      </c>
      <c r="D2" t="s">
        <v>21</v>
      </c>
    </row>
    <row r="3" spans="1:4" ht="15.9" x14ac:dyDescent="0.5">
      <c r="A3" s="3">
        <v>64</v>
      </c>
      <c r="B3" s="1">
        <v>13</v>
      </c>
      <c r="C3" t="s">
        <v>17</v>
      </c>
      <c r="D3" t="s">
        <v>22</v>
      </c>
    </row>
    <row r="4" spans="1:4" ht="15.9" x14ac:dyDescent="0.5">
      <c r="A4" s="3">
        <v>64</v>
      </c>
      <c r="B4" s="1">
        <v>13</v>
      </c>
      <c r="C4" t="s">
        <v>18</v>
      </c>
      <c r="D4" t="s">
        <v>23</v>
      </c>
    </row>
    <row r="5" spans="1:4" ht="15.9" x14ac:dyDescent="0.5">
      <c r="A5" s="3">
        <v>64</v>
      </c>
      <c r="B5" s="1">
        <v>13</v>
      </c>
      <c r="C5" t="s">
        <v>19</v>
      </c>
      <c r="D5" t="s">
        <v>24</v>
      </c>
    </row>
    <row r="6" spans="1:4" x14ac:dyDescent="0.4">
      <c r="A6" s="1">
        <v>67</v>
      </c>
      <c r="B6" s="1">
        <v>11</v>
      </c>
      <c r="C6" t="s">
        <v>16</v>
      </c>
      <c r="D6" t="s">
        <v>25</v>
      </c>
    </row>
    <row r="7" spans="1:4" x14ac:dyDescent="0.4">
      <c r="A7" s="1">
        <v>67</v>
      </c>
      <c r="B7" s="1">
        <v>11</v>
      </c>
      <c r="C7" t="s">
        <v>17</v>
      </c>
      <c r="D7" t="s">
        <v>26</v>
      </c>
    </row>
    <row r="8" spans="1:4" x14ac:dyDescent="0.4">
      <c r="A8" s="1">
        <v>67</v>
      </c>
      <c r="B8" s="1">
        <v>11</v>
      </c>
      <c r="C8" t="s">
        <v>18</v>
      </c>
      <c r="D8" t="s">
        <v>27</v>
      </c>
    </row>
  </sheetData>
  <conditionalFormatting sqref="A2:A5">
    <cfRule type="expression" dxfId="3" priority="3">
      <formula>$B2="ჯამი"</formula>
    </cfRule>
  </conditionalFormatting>
  <conditionalFormatting sqref="A7:B8">
    <cfRule type="expression" dxfId="2" priority="2">
      <formula>$C3="ჯამი"</formula>
    </cfRule>
  </conditionalFormatting>
  <conditionalFormatting sqref="B2:B5">
    <cfRule type="expression" dxfId="1" priority="4">
      <formula>$C2="ჯამი"</formula>
    </cfRule>
  </conditionalFormatting>
  <conditionalFormatting sqref="A6:B6">
    <cfRule type="expression" dxfId="0" priority="1">
      <formula>$C2="ჯამი"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64.13 ფოცხო</vt:lpstr>
      <vt:lpstr>Candidates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Rusudan Lelashvili</dc:creator>
  <cp:lastModifiedBy>David Sichinava</cp:lastModifiedBy>
  <cp:lastPrinted>2015-11-04T10:18:43Z</cp:lastPrinted>
  <dcterms:created xsi:type="dcterms:W3CDTF">2015-11-02T08:27:13Z</dcterms:created>
  <dcterms:modified xsi:type="dcterms:W3CDTF">2026-04-29T20:49:44Z</dcterms:modified>
</cp:coreProperties>
</file>