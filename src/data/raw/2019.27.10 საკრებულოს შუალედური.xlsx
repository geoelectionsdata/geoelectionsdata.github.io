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Election portal data sets\Election results\შედეგები\"/>
    </mc:Choice>
  </mc:AlternateContent>
  <xr:revisionPtr revIDLastSave="0" documentId="13_ncr:1_{59A65AA1-12DF-4A5A-BFA3-81A2A8462D0B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შედეგები" sheetId="1" r:id="rId1"/>
    <sheet name="Candidates" sheetId="2" r:id="rId2"/>
  </sheets>
  <definedNames>
    <definedName name="_xlnm.Print_Titles" localSheetId="0">შედეგები!$B:$D,შედეგები!$1:$1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T3" i="1" l="1"/>
  <c r="T4" i="1"/>
  <c r="T5" i="1"/>
  <c r="T6" i="1"/>
  <c r="T7" i="1"/>
  <c r="T8" i="1"/>
  <c r="T9" i="1"/>
  <c r="T10" i="1"/>
  <c r="T11" i="1"/>
  <c r="T2" i="1"/>
  <c r="M6" i="1" l="1"/>
  <c r="S6" i="1"/>
  <c r="Q6" i="1"/>
  <c r="O6" i="1"/>
  <c r="S5" i="1"/>
  <c r="Q5" i="1"/>
  <c r="O5" i="1"/>
  <c r="M5" i="1"/>
  <c r="Q8" i="1"/>
  <c r="S8" i="1"/>
  <c r="S4" i="1"/>
  <c r="Q4" i="1"/>
  <c r="O4" i="1"/>
  <c r="M4" i="1"/>
  <c r="S10" i="1"/>
  <c r="Q10" i="1"/>
  <c r="S9" i="1"/>
  <c r="Q9" i="1"/>
  <c r="O2" i="1"/>
  <c r="M2" i="1"/>
  <c r="S2" i="1"/>
  <c r="Q2" i="1"/>
  <c r="Q11" i="1"/>
  <c r="S11" i="1"/>
  <c r="Q7" i="1"/>
  <c r="S7" i="1"/>
  <c r="Q3" i="1"/>
  <c r="O3" i="1"/>
  <c r="M3" i="1"/>
  <c r="S3" i="1"/>
</calcChain>
</file>

<file path=xl/sharedStrings.xml><?xml version="1.0" encoding="utf-8"?>
<sst xmlns="http://schemas.openxmlformats.org/spreadsheetml/2006/main" count="64" uniqueCount="37">
  <si>
    <t>ლაგოდეხი</t>
  </si>
  <si>
    <t>ადიგენი</t>
  </si>
  <si>
    <t>მარტვილი</t>
  </si>
  <si>
    <t>ჯამი</t>
  </si>
  <si>
    <t>ნამდვილი ბიულეტენი</t>
  </si>
  <si>
    <t>ოლქის დასახელება</t>
  </si>
  <si>
    <t>ოლქის N</t>
  </si>
  <si>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</si>
  <si>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</si>
  <si>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</si>
  <si>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</si>
  <si>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</si>
  <si>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კენჭისრაში მონაწილეთა რაოდენობა</t>
  </si>
  <si>
    <t>მიღებულ ბიულეტენთა რაოდენობა</t>
  </si>
  <si>
    <t>ბათილ ბიულეტენთა რაოდენობა</t>
  </si>
  <si>
    <t>%</t>
  </si>
  <si>
    <t>მაჟ ოლქის N</t>
  </si>
  <si>
    <t>03</t>
  </si>
  <si>
    <t>2</t>
  </si>
  <si>
    <t>40</t>
  </si>
  <si>
    <t>41</t>
  </si>
  <si>
    <t>Elections</t>
  </si>
  <si>
    <t>District</t>
  </si>
  <si>
    <t>Name</t>
  </si>
  <si>
    <t>Party</t>
  </si>
  <si>
    <t>15.03</t>
  </si>
  <si>
    <t>მალხაზი მელაშვილი</t>
  </si>
  <si>
    <t>2 ევროპული საქართველო მოძრაობა თავისუფლებისთვის</t>
  </si>
  <si>
    <t>დავითი ბეგლარიშვილი</t>
  </si>
  <si>
    <t>40 მოძრაობა თავისუფალი საქართველოსთვის</t>
  </si>
  <si>
    <t>ომარი შველიძე</t>
  </si>
  <si>
    <t>41 ქართული ოცნება - დემოკრატიული საქართველო</t>
  </si>
  <si>
    <t>38.03</t>
  </si>
  <si>
    <t>ზურაბ ფეიქრიშვილი</t>
  </si>
  <si>
    <t>65.11</t>
  </si>
  <si>
    <t>რობერტ კაკულია</t>
  </si>
  <si>
    <t>Sakrebulo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</si>
</sst>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b/>
      <sz val="12"/>
      <color theme="1"/>
      <name val="Sylfaen"/>
      <family val="1"/>
    </font>
    <font>
      <sz val="12"/>
      <color theme="1"/>
      <name val="Sylfaen"/>
      <family val="1"/>
    </font>
    <font>
      <b/>
      <sz val="9"/>
      <color theme="1"/>
      <name val="Sylfaen"/>
      <family val="1"/>
    </font>
    <font>
      <b/>
      <sz val="8"/>
      <color theme="1"/>
      <name val="Sylfae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0" fontId="4" fillId="0" borderId="1" xfId="1" applyNumberFormat="1" applyFont="1" applyBorder="1" applyAlignment="1">
      <alignment vertical="center"/>
    </xf>
    <xf numFmtId="10" fontId="4" fillId="4" borderId="1" xfId="1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center" vertical="center"/>
    </xf>
    <xf numFmtId="0" fontId="0" fillId="0" borderId="0" xfId="0" quotePrefix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workbookViewId="0">
      <pane ySplit="1" topLeftCell="A2" activePane="bottomLeft" state="frozen"/>
      <selection pane="bottomLeft" activeCell="A2" sqref="A2"/>
    </sheetView>
  </sheetViews>
  <sheetFormatPr defaultColWidth="9.07421875" defaultRowHeight="15.9" x14ac:dyDescent="0.4"/>
  <cols>
    <col min="1" max="1" width="8.84375" style="9" customWidth="1"/>
    <col min="2" max="2" width="14.53515625" style="1" customWidth="1"/>
    <col min="3" max="3" width="9" style="9" bestFit="1" customWidth="1"/>
    <col min="4" max="4" width="7.07421875" style="1" bestFit="1" customWidth="1"/>
    <col min="5" max="5" width="18.69140625" style="1" customWidth="1"/>
    <col min="6" max="6" width="18" style="1" customWidth="1"/>
    <col min="7" max="8" width="9.3046875" style="1" bestFit="1" customWidth="1"/>
    <col min="9" max="9" width="14" style="1" customWidth="1"/>
    <col min="10" max="10" width="8" style="1" bestFit="1" customWidth="1"/>
    <col min="11" max="11" width="14" style="1" customWidth="1"/>
    <col min="12" max="12" width="5.07421875" style="1" bestFit="1" customWidth="1"/>
    <col min="13" max="13" width="8" style="1" customWidth="1"/>
    <col min="14" max="14" width="3.84375" style="1" bestFit="1" customWidth="1"/>
    <col min="15" max="15" width="6.84375" style="1" bestFit="1" customWidth="1"/>
    <col min="16" max="16" width="6.4609375" style="1" bestFit="1" customWidth="1"/>
    <col min="17" max="17" width="9.07421875" style="1" bestFit="1" customWidth="1"/>
    <col min="18" max="18" width="12.53515625" style="1" bestFit="1" customWidth="1"/>
    <col min="19" max="19" width="6.84375" style="1" bestFit="1" customWidth="1"/>
    <col min="20" max="20" width="11.3046875" style="1" bestFit="1" customWidth="1"/>
    <col min="21" max="16384" width="9.07421875" style="1"/>
  </cols>
  <sheetData>
    <row r="1" spans="1:20" ht="36" x14ac:dyDescent="0.4">
      <c r="A1" s="11" t="s">
        <v>6</v>
      </c>
      <c r="B1" s="11" t="s">
        <v>5</v>
      </c>
      <c r="C1" s="11" t="s">
        <v>16</v>
      </c>
      <c r="D1" s="11" t="s">
        <v>7</v>
      </c>
      <c r="E1" s="11" t="s">
        <v>8</v>
      </c>
      <c r="F1" s="11" t="s">
        <v>9</v>
      </c>
      <c r="G1" s="18" t="s">
        <v>10</v>
      </c>
      <c r="H1" s="18" t="s">
        <v>11</v>
      </c>
      <c r="I1" s="18" t="s">
        <v>12</v>
      </c>
      <c r="J1" s="11" t="s">
        <v>15</v>
      </c>
      <c r="K1" s="18" t="s">
        <v>13</v>
      </c>
      <c r="L1" s="19" t="s">
        <v>18</v>
      </c>
      <c r="M1" s="17" t="s">
        <v>15</v>
      </c>
      <c r="N1" s="19" t="s">
        <v>19</v>
      </c>
      <c r="O1" s="12" t="s">
        <v>15</v>
      </c>
      <c r="P1" s="19" t="s">
        <v>20</v>
      </c>
      <c r="Q1" s="12" t="s">
        <v>15</v>
      </c>
      <c r="R1" s="18" t="s">
        <v>14</v>
      </c>
      <c r="S1" s="10" t="s">
        <v>15</v>
      </c>
      <c r="T1" s="18" t="s">
        <v>4</v>
      </c>
    </row>
    <row r="2" spans="1:20" ht="20.25" customHeight="1" x14ac:dyDescent="0.4">
      <c r="A2" s="3">
        <v>15</v>
      </c>
      <c r="B2" s="2" t="s">
        <v>0</v>
      </c>
      <c r="C2" s="15" t="s">
        <v>17</v>
      </c>
      <c r="D2" s="2">
        <v>25</v>
      </c>
      <c r="E2" s="2">
        <v>1562</v>
      </c>
      <c r="F2" s="2">
        <v>3</v>
      </c>
      <c r="G2" s="2">
        <v>286</v>
      </c>
      <c r="H2" s="2">
        <v>734</v>
      </c>
      <c r="I2" s="2">
        <v>868</v>
      </c>
      <c r="J2" s="13">
        <f>I2/E2</f>
        <v>0.55569782330345707</v>
      </c>
      <c r="K2" s="2">
        <v>1450</v>
      </c>
      <c r="L2" s="2">
        <v>136</v>
      </c>
      <c r="M2" s="13">
        <f>L2/T2</f>
        <v>0.16171224732461356</v>
      </c>
      <c r="N2" s="2">
        <v>9</v>
      </c>
      <c r="O2" s="13">
        <f>N2/T2</f>
        <v>1.070154577883472E-2</v>
      </c>
      <c r="P2" s="2">
        <v>696</v>
      </c>
      <c r="Q2" s="13">
        <f>P2/T2</f>
        <v>0.82758620689655171</v>
      </c>
      <c r="R2" s="2">
        <v>25</v>
      </c>
      <c r="S2" s="13">
        <f>R2/(T2+R2)</f>
        <v>2.8868360277136258E-2</v>
      </c>
      <c r="T2" s="2">
        <f>L2+N2+P2</f>
        <v>841</v>
      </c>
    </row>
    <row r="3" spans="1:20" ht="20.25" customHeight="1" x14ac:dyDescent="0.4">
      <c r="A3" s="3">
        <v>15</v>
      </c>
      <c r="B3" s="2" t="s">
        <v>0</v>
      </c>
      <c r="C3" s="15" t="s">
        <v>17</v>
      </c>
      <c r="D3" s="2">
        <v>26</v>
      </c>
      <c r="E3" s="2">
        <v>1378</v>
      </c>
      <c r="F3" s="2">
        <v>6</v>
      </c>
      <c r="G3" s="2">
        <v>280</v>
      </c>
      <c r="H3" s="2">
        <v>646</v>
      </c>
      <c r="I3" s="2">
        <v>774</v>
      </c>
      <c r="J3" s="13">
        <f t="shared" ref="J3:J11" si="0">I3/E3</f>
        <v>0.56168359941944845</v>
      </c>
      <c r="K3" s="2">
        <v>1300</v>
      </c>
      <c r="L3" s="2">
        <v>88</v>
      </c>
      <c r="M3" s="13">
        <f>L3/T3</f>
        <v>0.11594202898550725</v>
      </c>
      <c r="N3" s="2">
        <v>9</v>
      </c>
      <c r="O3" s="13">
        <f>N3/T3</f>
        <v>1.1857707509881422E-2</v>
      </c>
      <c r="P3" s="2">
        <v>662</v>
      </c>
      <c r="Q3" s="13">
        <f t="shared" ref="Q3:Q11" si="1">P3/T3</f>
        <v>0.87220026350461133</v>
      </c>
      <c r="R3" s="2">
        <v>15</v>
      </c>
      <c r="S3" s="13">
        <f t="shared" ref="S3:S11" si="2">R3/(T3+R3)</f>
        <v>1.937984496124031E-2</v>
      </c>
      <c r="T3" s="2">
        <f t="shared" ref="T3:T11" si="3">L3+N3+P3</f>
        <v>759</v>
      </c>
    </row>
    <row r="4" spans="1:20" ht="20.25" customHeight="1" x14ac:dyDescent="0.4">
      <c r="A4" s="3">
        <v>15</v>
      </c>
      <c r="B4" s="2" t="s">
        <v>0</v>
      </c>
      <c r="C4" s="15" t="s">
        <v>17</v>
      </c>
      <c r="D4" s="2">
        <v>27</v>
      </c>
      <c r="E4" s="2">
        <v>799</v>
      </c>
      <c r="F4" s="2">
        <v>4</v>
      </c>
      <c r="G4" s="2">
        <v>173</v>
      </c>
      <c r="H4" s="2">
        <v>407</v>
      </c>
      <c r="I4" s="2">
        <v>478</v>
      </c>
      <c r="J4" s="13">
        <f t="shared" si="0"/>
        <v>0.59824780976220271</v>
      </c>
      <c r="K4" s="2">
        <v>750</v>
      </c>
      <c r="L4" s="2">
        <v>87</v>
      </c>
      <c r="M4" s="13">
        <f>L4/T4</f>
        <v>0.18550106609808104</v>
      </c>
      <c r="N4" s="2">
        <v>0</v>
      </c>
      <c r="O4" s="13">
        <f>N4/T4</f>
        <v>0</v>
      </c>
      <c r="P4" s="2">
        <v>382</v>
      </c>
      <c r="Q4" s="13">
        <f t="shared" si="1"/>
        <v>0.81449893390191896</v>
      </c>
      <c r="R4" s="2">
        <v>9</v>
      </c>
      <c r="S4" s="13">
        <f t="shared" si="2"/>
        <v>1.8828451882845189E-2</v>
      </c>
      <c r="T4" s="2">
        <f t="shared" si="3"/>
        <v>469</v>
      </c>
    </row>
    <row r="5" spans="1:20" ht="20.25" customHeight="1" x14ac:dyDescent="0.4">
      <c r="A5" s="3">
        <v>15</v>
      </c>
      <c r="B5" s="2" t="s">
        <v>0</v>
      </c>
      <c r="C5" s="15" t="s">
        <v>17</v>
      </c>
      <c r="D5" s="2">
        <v>33</v>
      </c>
      <c r="E5" s="2">
        <v>490</v>
      </c>
      <c r="F5" s="2">
        <v>5</v>
      </c>
      <c r="G5" s="2">
        <v>128</v>
      </c>
      <c r="H5" s="2">
        <v>258</v>
      </c>
      <c r="I5" s="2">
        <v>294</v>
      </c>
      <c r="J5" s="13">
        <f t="shared" si="0"/>
        <v>0.6</v>
      </c>
      <c r="K5" s="2">
        <v>500</v>
      </c>
      <c r="L5" s="2">
        <v>36</v>
      </c>
      <c r="M5" s="13">
        <f>L5/T5</f>
        <v>0.12413793103448276</v>
      </c>
      <c r="N5" s="2">
        <v>3</v>
      </c>
      <c r="O5" s="13">
        <f>N5/T5</f>
        <v>1.0344827586206896E-2</v>
      </c>
      <c r="P5" s="2">
        <v>251</v>
      </c>
      <c r="Q5" s="13">
        <f t="shared" si="1"/>
        <v>0.8655172413793103</v>
      </c>
      <c r="R5" s="2">
        <v>4</v>
      </c>
      <c r="S5" s="13">
        <f t="shared" si="2"/>
        <v>1.3605442176870748E-2</v>
      </c>
      <c r="T5" s="2">
        <f t="shared" si="3"/>
        <v>290</v>
      </c>
    </row>
    <row r="6" spans="1:20" s="7" customFormat="1" ht="20.25" customHeight="1" x14ac:dyDescent="0.4">
      <c r="A6" s="5">
        <v>15</v>
      </c>
      <c r="B6" s="4" t="s">
        <v>0</v>
      </c>
      <c r="C6" s="16" t="s">
        <v>17</v>
      </c>
      <c r="D6" s="6" t="s">
        <v>3</v>
      </c>
      <c r="E6" s="4">
        <v>4229</v>
      </c>
      <c r="F6" s="4">
        <v>18</v>
      </c>
      <c r="G6" s="4">
        <v>867</v>
      </c>
      <c r="H6" s="4">
        <v>2045</v>
      </c>
      <c r="I6" s="4">
        <v>2414</v>
      </c>
      <c r="J6" s="14">
        <f t="shared" si="0"/>
        <v>0.57082052494679592</v>
      </c>
      <c r="K6" s="4">
        <v>4000</v>
      </c>
      <c r="L6" s="4">
        <v>347</v>
      </c>
      <c r="M6" s="14">
        <f>L6/T6</f>
        <v>0.14709622721492158</v>
      </c>
      <c r="N6" s="4">
        <v>21</v>
      </c>
      <c r="O6" s="14">
        <f>N6/T6</f>
        <v>8.9020771513353119E-3</v>
      </c>
      <c r="P6" s="4">
        <v>1991</v>
      </c>
      <c r="Q6" s="14">
        <f t="shared" si="1"/>
        <v>0.84400169563374317</v>
      </c>
      <c r="R6" s="4">
        <v>53</v>
      </c>
      <c r="S6" s="14">
        <f t="shared" si="2"/>
        <v>2.197346600331675E-2</v>
      </c>
      <c r="T6" s="4">
        <f t="shared" si="3"/>
        <v>2359</v>
      </c>
    </row>
    <row r="7" spans="1:20" ht="20.25" customHeight="1" x14ac:dyDescent="0.4">
      <c r="A7" s="3">
        <v>38</v>
      </c>
      <c r="B7" s="2" t="s">
        <v>1</v>
      </c>
      <c r="C7" s="15" t="s">
        <v>17</v>
      </c>
      <c r="D7" s="8">
        <v>3</v>
      </c>
      <c r="E7" s="2">
        <v>1466</v>
      </c>
      <c r="F7" s="2">
        <v>0</v>
      </c>
      <c r="G7" s="2">
        <v>305</v>
      </c>
      <c r="H7" s="2">
        <v>737</v>
      </c>
      <c r="I7" s="2">
        <v>887</v>
      </c>
      <c r="J7" s="13">
        <f t="shared" si="0"/>
        <v>0.60504774897680769</v>
      </c>
      <c r="K7" s="2">
        <v>1400</v>
      </c>
      <c r="L7" s="2"/>
      <c r="M7" s="13"/>
      <c r="N7" s="2"/>
      <c r="O7" s="13"/>
      <c r="P7" s="2">
        <v>875</v>
      </c>
      <c r="Q7" s="13">
        <f t="shared" si="1"/>
        <v>1</v>
      </c>
      <c r="R7" s="2">
        <v>12</v>
      </c>
      <c r="S7" s="13">
        <f t="shared" si="2"/>
        <v>1.3528748590755355E-2</v>
      </c>
      <c r="T7" s="2">
        <f t="shared" si="3"/>
        <v>875</v>
      </c>
    </row>
    <row r="8" spans="1:20" s="7" customFormat="1" ht="20.25" customHeight="1" x14ac:dyDescent="0.4">
      <c r="A8" s="5">
        <v>38</v>
      </c>
      <c r="B8" s="4" t="s">
        <v>1</v>
      </c>
      <c r="C8" s="16" t="s">
        <v>17</v>
      </c>
      <c r="D8" s="6" t="s">
        <v>3</v>
      </c>
      <c r="E8" s="4">
        <v>1466</v>
      </c>
      <c r="F8" s="4">
        <v>0</v>
      </c>
      <c r="G8" s="4">
        <v>305</v>
      </c>
      <c r="H8" s="4">
        <v>737</v>
      </c>
      <c r="I8" s="4">
        <v>887</v>
      </c>
      <c r="J8" s="14">
        <f t="shared" si="0"/>
        <v>0.60504774897680769</v>
      </c>
      <c r="K8" s="4">
        <v>1400</v>
      </c>
      <c r="L8" s="4"/>
      <c r="M8" s="4"/>
      <c r="N8" s="4"/>
      <c r="O8" s="4"/>
      <c r="P8" s="4">
        <v>875</v>
      </c>
      <c r="Q8" s="14">
        <f t="shared" si="1"/>
        <v>1</v>
      </c>
      <c r="R8" s="4">
        <v>12</v>
      </c>
      <c r="S8" s="14">
        <f t="shared" si="2"/>
        <v>1.3528748590755355E-2</v>
      </c>
      <c r="T8" s="4">
        <f t="shared" si="3"/>
        <v>875</v>
      </c>
    </row>
    <row r="9" spans="1:20" ht="20.25" customHeight="1" x14ac:dyDescent="0.4">
      <c r="A9" s="3">
        <v>65</v>
      </c>
      <c r="B9" s="2" t="s">
        <v>2</v>
      </c>
      <c r="C9" s="3">
        <v>11</v>
      </c>
      <c r="D9" s="8">
        <v>22</v>
      </c>
      <c r="E9" s="2">
        <v>605</v>
      </c>
      <c r="F9" s="2">
        <v>0</v>
      </c>
      <c r="G9" s="2">
        <v>107</v>
      </c>
      <c r="H9" s="2">
        <v>240</v>
      </c>
      <c r="I9" s="2">
        <v>278</v>
      </c>
      <c r="J9" s="13">
        <f t="shared" si="0"/>
        <v>0.45950413223140496</v>
      </c>
      <c r="K9" s="2">
        <v>550</v>
      </c>
      <c r="L9" s="2"/>
      <c r="M9" s="13"/>
      <c r="N9" s="2"/>
      <c r="O9" s="13"/>
      <c r="P9" s="2">
        <v>267</v>
      </c>
      <c r="Q9" s="13">
        <f t="shared" si="1"/>
        <v>1</v>
      </c>
      <c r="R9" s="2">
        <v>11</v>
      </c>
      <c r="S9" s="13">
        <f t="shared" si="2"/>
        <v>3.9568345323741004E-2</v>
      </c>
      <c r="T9" s="2">
        <f t="shared" si="3"/>
        <v>267</v>
      </c>
    </row>
    <row r="10" spans="1:20" ht="20.25" customHeight="1" x14ac:dyDescent="0.4">
      <c r="A10" s="3">
        <v>65</v>
      </c>
      <c r="B10" s="2" t="s">
        <v>2</v>
      </c>
      <c r="C10" s="3">
        <v>11</v>
      </c>
      <c r="D10" s="8">
        <v>23</v>
      </c>
      <c r="E10" s="2">
        <v>498</v>
      </c>
      <c r="F10" s="2">
        <v>1</v>
      </c>
      <c r="G10" s="2">
        <v>101</v>
      </c>
      <c r="H10" s="2">
        <v>259</v>
      </c>
      <c r="I10" s="2">
        <v>287</v>
      </c>
      <c r="J10" s="13">
        <f t="shared" si="0"/>
        <v>0.57630522088353409</v>
      </c>
      <c r="K10" s="2">
        <v>500</v>
      </c>
      <c r="L10" s="2"/>
      <c r="M10" s="13"/>
      <c r="N10" s="2"/>
      <c r="O10" s="13"/>
      <c r="P10" s="2">
        <v>282</v>
      </c>
      <c r="Q10" s="13">
        <f t="shared" si="1"/>
        <v>1</v>
      </c>
      <c r="R10" s="2">
        <v>5</v>
      </c>
      <c r="S10" s="13">
        <f t="shared" si="2"/>
        <v>1.7421602787456445E-2</v>
      </c>
      <c r="T10" s="2">
        <f t="shared" si="3"/>
        <v>282</v>
      </c>
    </row>
    <row r="11" spans="1:20" s="7" customFormat="1" ht="20.25" customHeight="1" x14ac:dyDescent="0.4">
      <c r="A11" s="5">
        <v>65</v>
      </c>
      <c r="B11" s="4" t="s">
        <v>2</v>
      </c>
      <c r="C11" s="5">
        <v>11</v>
      </c>
      <c r="D11" s="6" t="s">
        <v>3</v>
      </c>
      <c r="E11" s="4">
        <v>1103</v>
      </c>
      <c r="F11" s="4">
        <v>1</v>
      </c>
      <c r="G11" s="4">
        <v>208</v>
      </c>
      <c r="H11" s="4">
        <v>499</v>
      </c>
      <c r="I11" s="4">
        <v>565</v>
      </c>
      <c r="J11" s="14">
        <f t="shared" si="0"/>
        <v>0.51223934723481412</v>
      </c>
      <c r="K11" s="4">
        <v>1050</v>
      </c>
      <c r="L11" s="4"/>
      <c r="M11" s="4"/>
      <c r="N11" s="4"/>
      <c r="O11" s="4"/>
      <c r="P11" s="4">
        <v>549</v>
      </c>
      <c r="Q11" s="14">
        <f t="shared" si="1"/>
        <v>1</v>
      </c>
      <c r="R11" s="4">
        <v>16</v>
      </c>
      <c r="S11" s="14">
        <f t="shared" si="2"/>
        <v>2.831858407079646E-2</v>
      </c>
      <c r="T11" s="4">
        <f t="shared" si="3"/>
        <v>549</v>
      </c>
    </row>
  </sheetData>
  <pageMargins left="0.7" right="0.7" top="0.75" bottom="0.75" header="0.3" footer="0.3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6070-61ED-4AD9-8763-DE927B267716}">
  <dimension ref="A1:D6"/>
  <sheetViews>
    <sheetView tabSelected="1" workbookViewId="0">
      <selection activeCell="A6" sqref="A2:A6"/>
    </sheetView>
  </sheetViews>
  <sheetFormatPr defaultRowHeight="14.6" x14ac:dyDescent="0.4"/>
  <sheetData>
    <row r="1" spans="1:4" x14ac:dyDescent="0.4">
      <c r="A1" t="s">
        <v>21</v>
      </c>
      <c r="B1" t="s">
        <v>22</v>
      </c>
      <c r="C1" t="s">
        <v>23</v>
      </c>
      <c r="D1" t="s">
        <v>24</v>
      </c>
    </row>
    <row r="2" spans="1:4" x14ac:dyDescent="0.4">
      <c r="A2" t="s">
        <v>36</v>
      </c>
      <c r="B2" s="20" t="s">
        <v>25</v>
      </c>
      <c r="C2" t="s">
        <v>26</v>
      </c>
      <c r="D2" t="s">
        <v>27</v>
      </c>
    </row>
    <row r="3" spans="1:4" x14ac:dyDescent="0.4">
      <c r="A3" t="s">
        <v>36</v>
      </c>
      <c r="B3" s="20" t="s">
        <v>25</v>
      </c>
      <c r="C3" t="s">
        <v>28</v>
      </c>
      <c r="D3" t="s">
        <v>29</v>
      </c>
    </row>
    <row r="4" spans="1:4" x14ac:dyDescent="0.4">
      <c r="A4" t="s">
        <v>36</v>
      </c>
      <c r="B4" s="20" t="s">
        <v>25</v>
      </c>
      <c r="C4" t="s">
        <v>30</v>
      </c>
      <c r="D4" t="s">
        <v>31</v>
      </c>
    </row>
    <row r="5" spans="1:4" x14ac:dyDescent="0.4">
      <c r="A5" t="s">
        <v>36</v>
      </c>
      <c r="B5" s="20" t="s">
        <v>32</v>
      </c>
      <c r="C5" t="s">
        <v>33</v>
      </c>
      <c r="D5" t="s">
        <v>31</v>
      </c>
    </row>
    <row r="6" spans="1:4" x14ac:dyDescent="0.4">
      <c r="A6" t="s">
        <v>36</v>
      </c>
      <c r="B6" s="20" t="s">
        <v>34</v>
      </c>
      <c r="C6" t="s">
        <v>35</v>
      </c>
      <c r="D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შედეგები</vt:lpstr>
      <vt:lpstr>Candidates</vt:lpstr>
      <vt:lpstr>შედეგები!Print_Titles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რუსუდან ლელაშვილი</dc:creator>
  <cp:lastModifiedBy>David Sichinava</cp:lastModifiedBy>
  <cp:lastPrinted>2019-10-29T11:30:44Z</cp:lastPrinted>
  <dcterms:created xsi:type="dcterms:W3CDTF">2019-10-28T09:32:37Z</dcterms:created>
  <dcterms:modified xsi:type="dcterms:W3CDTF">2026-04-27T12:22:23Z</dcterms:modified>
</cp:coreProperties>
</file>