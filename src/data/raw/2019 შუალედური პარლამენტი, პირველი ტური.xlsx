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EA44C27C-DA22-4A74-A865-62975811EED6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პარლამენტი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D33" i="3" l="1"/>
  <c r="E33" i="3"/>
  <c r="F33" i="3"/>
  <c r="G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E33" i="3"/>
  <c r="C33" i="3"/>
  <c r="AD3" i="3"/>
  <c r="AF3" i="3" s="1"/>
  <c r="AD4" i="3"/>
  <c r="AF4" i="3" s="1"/>
  <c r="AD5" i="3"/>
  <c r="AF5" i="3" s="1"/>
  <c r="AD6" i="3"/>
  <c r="AD7" i="3"/>
  <c r="AF7" i="3" s="1"/>
  <c r="AD8" i="3"/>
  <c r="AF8" i="3" s="1"/>
  <c r="AD9" i="3"/>
  <c r="AF9" i="3" s="1"/>
  <c r="AD10" i="3"/>
  <c r="AF10" i="3" s="1"/>
  <c r="AD11" i="3"/>
  <c r="AF11" i="3" s="1"/>
  <c r="AD12" i="3"/>
  <c r="AF12" i="3" s="1"/>
  <c r="AD13" i="3"/>
  <c r="AF13" i="3" s="1"/>
  <c r="AD14" i="3"/>
  <c r="AF14" i="3" s="1"/>
  <c r="AD15" i="3"/>
  <c r="AF15" i="3" s="1"/>
  <c r="AD16" i="3"/>
  <c r="AF16" i="3" s="1"/>
  <c r="AD17" i="3"/>
  <c r="AF17" i="3" s="1"/>
  <c r="AD18" i="3"/>
  <c r="AF18" i="3" s="1"/>
  <c r="AD19" i="3"/>
  <c r="AF19" i="3" s="1"/>
  <c r="AD20" i="3"/>
  <c r="AF20" i="3" s="1"/>
  <c r="AD21" i="3"/>
  <c r="AF21" i="3" s="1"/>
  <c r="AD22" i="3"/>
  <c r="AF22" i="3" s="1"/>
  <c r="AD23" i="3"/>
  <c r="AF23" i="3" s="1"/>
  <c r="AD24" i="3"/>
  <c r="AF24" i="3" s="1"/>
  <c r="AD25" i="3"/>
  <c r="AF25" i="3" s="1"/>
  <c r="AD26" i="3"/>
  <c r="AF26" i="3" s="1"/>
  <c r="AD27" i="3"/>
  <c r="AF27" i="3" s="1"/>
  <c r="AD28" i="3"/>
  <c r="AF28" i="3" s="1"/>
  <c r="AD29" i="3"/>
  <c r="AF29" i="3" s="1"/>
  <c r="AD30" i="3"/>
  <c r="AF30" i="3" s="1"/>
  <c r="AD31" i="3"/>
  <c r="AF31" i="3" s="1"/>
  <c r="AD32" i="3"/>
  <c r="AF32" i="3" s="1"/>
  <c r="AD2" i="3"/>
  <c r="AF2" i="3" s="1"/>
  <c r="U34" i="3" l="1"/>
  <c r="M34" i="3"/>
  <c r="AB34" i="3"/>
  <c r="H33" i="3"/>
  <c r="AD33" i="3"/>
  <c r="X34" i="3" s="1"/>
  <c r="AF6" i="3"/>
  <c r="Y34" i="3" l="1"/>
  <c r="AC34" i="3"/>
  <c r="N34" i="3"/>
  <c r="AF33" i="3"/>
  <c r="V34" i="3"/>
  <c r="K34" i="3"/>
  <c r="O34" i="3"/>
  <c r="W34" i="3"/>
  <c r="AA34" i="3"/>
  <c r="L34" i="3"/>
  <c r="T34" i="3"/>
  <c r="S34" i="3"/>
  <c r="P34" i="3"/>
  <c r="Q34" i="3"/>
  <c r="J34" i="3"/>
  <c r="Z34" i="3"/>
  <c r="R34" i="3"/>
</calcChain>
</file>

<file path=xl/sharedStrings.xml><?xml version="1.0" encoding="utf-8"?>
<sst xmlns="http://schemas.openxmlformats.org/spreadsheetml/2006/main" count="64" uniqueCount="63">
  <si>
    <t>ჯამი</t>
  </si>
  <si>
    <t>ნამდვილი</t>
  </si>
  <si>
    <t>ბათილი</t>
  </si>
  <si>
    <t>მიღებული ბიულეტენი</t>
  </si>
  <si>
    <t>მონაწილე</t>
  </si>
  <si>
    <t>მონაწილე 12 სთ.</t>
  </si>
  <si>
    <t>მონაწილე 17 სთ.</t>
  </si>
  <si>
    <t>სპეციალურ სიაში ამომრჩეველთა რაოდენობა</t>
  </si>
  <si>
    <t>უბანი</t>
  </si>
  <si>
    <t>მაჟორიტარული ოლქი</t>
  </si>
  <si>
    <t xml:space="preserve">ერთიან სიაში ამომრჩეველთა რაოდენობა </t>
  </si>
  <si>
    <t>4 ნიტა სიხარულიძე</t>
  </si>
  <si>
    <t>9 გიორგი ანდრიაძე</t>
  </si>
  <si>
    <t>13 შალვა შავგულიძე</t>
  </si>
  <si>
    <t>17 გიორგი ლილუაშვილი</t>
  </si>
  <si>
    <t>21 გიორგი შალიკაშვილი</t>
  </si>
  <si>
    <t>23 თებეა თენგიანი</t>
  </si>
  <si>
    <t>24 მამუკა ტუსკაძე</t>
  </si>
  <si>
    <t>27 ვალისა ღვინჯილია</t>
  </si>
  <si>
    <t>28 მიხეილ სალუაშვილი</t>
  </si>
  <si>
    <t>31 ირმა რაზმაძე</t>
  </si>
  <si>
    <t>33 ჯემალ ნადარეიშვილი</t>
  </si>
  <si>
    <t>35 გერმანე საბო</t>
  </si>
  <si>
    <t>38 ნოდარ ინანეიშვილი</t>
  </si>
  <si>
    <t>41 ვლადიმერ კახაძე</t>
  </si>
  <si>
    <t>42 ლევან იოსელიანი</t>
  </si>
  <si>
    <t>43 კობა დავითაშვილი</t>
  </si>
  <si>
    <t>44 სოფიო ხორგუანი</t>
  </si>
  <si>
    <t>45 გრიგოლ გეგელია</t>
  </si>
  <si>
    <t>46 იოსებ კობერიძე</t>
  </si>
  <si>
    <t>47 თამარ ალფაიძე</t>
  </si>
  <si>
    <t>%</t>
  </si>
  <si>
    <t>01.01.01</t>
  </si>
  <si>
    <t>01.04.01</t>
  </si>
  <si>
    <t>01.01.02</t>
  </si>
  <si>
    <t>01.01.03</t>
  </si>
  <si>
    <t>01.01.04</t>
  </si>
  <si>
    <t>01.01.05</t>
  </si>
  <si>
    <t>01.01.06</t>
  </si>
  <si>
    <t>01.01.07</t>
  </si>
  <si>
    <t>01.01.08</t>
  </si>
  <si>
    <t>01.01.09</t>
  </si>
  <si>
    <t>01.01.10</t>
  </si>
  <si>
    <t>01.01.11</t>
  </si>
  <si>
    <t>01.01.12</t>
  </si>
  <si>
    <t>01.01.13</t>
  </si>
  <si>
    <t>01.01.14</t>
  </si>
  <si>
    <t>01.01.15</t>
  </si>
  <si>
    <t>01.01.16</t>
  </si>
  <si>
    <t>01.01.17</t>
  </si>
  <si>
    <t>01.01.18</t>
  </si>
  <si>
    <t>01.01.19</t>
  </si>
  <si>
    <t>01.01.20</t>
  </si>
  <si>
    <t>01.01.21</t>
  </si>
  <si>
    <t>01.01.22</t>
  </si>
  <si>
    <t>01.01.23</t>
  </si>
  <si>
    <t>01.01.24</t>
  </si>
  <si>
    <t>01.01.25</t>
  </si>
  <si>
    <t>01.01.26</t>
  </si>
  <si>
    <t>01.01.27</t>
  </si>
  <si>
    <t>01.01.28</t>
  </si>
  <si>
    <t>01.01.32</t>
  </si>
  <si>
    <t>01.01.33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</si>
</sst>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9"/>
      <color theme="1"/>
      <name val="Sylfaen"/>
      <family val="1"/>
    </font>
    <font>
      <b/>
      <sz val="8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center" vertical="center" textRotation="90"/>
    </xf>
    <xf numFmtId="10" fontId="3" fillId="0" borderId="0" xfId="1" applyNumberFormat="1" applyFont="1"/>
    <xf numFmtId="10" fontId="3" fillId="0" borderId="1" xfId="1" applyNumberFormat="1" applyFont="1" applyBorder="1"/>
    <xf numFmtId="10" fontId="3" fillId="0" borderId="0" xfId="1" applyNumberFormat="1" applyFont="1" applyBorder="1"/>
    <xf numFmtId="10" fontId="4" fillId="0" borderId="1" xfId="1" applyNumberFormat="1" applyFont="1" applyBorder="1"/>
    <xf numFmtId="10" fontId="4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"/>
  <sheetViews>
    <sheetView showZero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9.07421875" defaultRowHeight="15.9" x14ac:dyDescent="0.5"/>
  <cols>
    <col min="1" max="1" width="9.84375" style="3" bestFit="1" customWidth="1"/>
    <col min="2" max="2" width="10.53515625" style="3" customWidth="1"/>
    <col min="3" max="3" width="7.69140625" style="3" customWidth="1"/>
    <col min="4" max="4" width="11.4609375" style="3" customWidth="1"/>
    <col min="5" max="5" width="11.84375" style="3" customWidth="1"/>
    <col min="6" max="6" width="10.53515625" style="3" customWidth="1"/>
    <col min="7" max="7" width="11.84375" style="3" customWidth="1"/>
    <col min="8" max="8" width="9.07421875" style="3" bestFit="1" customWidth="1"/>
    <col min="9" max="9" width="11.84375" style="3" bestFit="1" customWidth="1"/>
    <col min="10" max="11" width="7.84375" style="3" bestFit="1" customWidth="1"/>
    <col min="12" max="12" width="9.07421875" style="3" bestFit="1" customWidth="1"/>
    <col min="13" max="22" width="7.84375" style="3" bestFit="1" customWidth="1"/>
    <col min="23" max="23" width="9.07421875" style="3" bestFit="1" customWidth="1"/>
    <col min="24" max="29" width="7.84375" style="3" bestFit="1" customWidth="1"/>
    <col min="30" max="30" width="11.3046875" style="3" customWidth="1"/>
    <col min="31" max="31" width="9.07421875" style="3" bestFit="1" customWidth="1"/>
    <col min="32" max="32" width="7.84375" style="3" bestFit="1" customWidth="1"/>
    <col min="33" max="16384" width="9.07421875" style="3"/>
  </cols>
  <sheetData>
    <row r="1" spans="1:32" ht="131.15" x14ac:dyDescent="0.5">
      <c r="A1" s="5" t="s">
        <v>9</v>
      </c>
      <c r="B1" s="5" t="s">
        <v>8</v>
      </c>
      <c r="C1" s="5" t="s">
        <v>10</v>
      </c>
      <c r="D1" s="5" t="s">
        <v>7</v>
      </c>
      <c r="E1" s="4" t="s">
        <v>5</v>
      </c>
      <c r="F1" s="4" t="s">
        <v>6</v>
      </c>
      <c r="G1" s="4" t="s">
        <v>4</v>
      </c>
      <c r="H1" s="4" t="s">
        <v>31</v>
      </c>
      <c r="I1" s="4" t="s">
        <v>3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1" t="s">
        <v>1</v>
      </c>
      <c r="AE1" s="1" t="s">
        <v>2</v>
      </c>
      <c r="AF1" s="1" t="s">
        <v>31</v>
      </c>
    </row>
    <row r="2" spans="1:32" x14ac:dyDescent="0.5">
      <c r="A2" s="2">
        <v>1</v>
      </c>
      <c r="B2" s="2" t="s">
        <v>32</v>
      </c>
      <c r="C2" s="2">
        <v>1437</v>
      </c>
      <c r="D2" s="2">
        <v>2</v>
      </c>
      <c r="E2" s="2">
        <v>134</v>
      </c>
      <c r="F2" s="2">
        <v>330</v>
      </c>
      <c r="G2" s="2">
        <v>420</v>
      </c>
      <c r="H2" s="9">
        <f>G2/C2</f>
        <v>0.29227557411273486</v>
      </c>
      <c r="I2" s="2">
        <v>1300</v>
      </c>
      <c r="J2" s="2">
        <v>0</v>
      </c>
      <c r="K2" s="2">
        <v>3</v>
      </c>
      <c r="L2" s="2">
        <v>144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71</v>
      </c>
      <c r="V2" s="2">
        <v>0</v>
      </c>
      <c r="W2" s="2">
        <v>134</v>
      </c>
      <c r="X2" s="2">
        <v>30</v>
      </c>
      <c r="Y2" s="2">
        <v>10</v>
      </c>
      <c r="Z2" s="2">
        <v>6</v>
      </c>
      <c r="AA2" s="2">
        <v>13</v>
      </c>
      <c r="AB2" s="2">
        <v>0</v>
      </c>
      <c r="AC2" s="2">
        <v>1</v>
      </c>
      <c r="AD2" s="2">
        <f>SUM(J2:AC2)</f>
        <v>413</v>
      </c>
      <c r="AE2" s="2">
        <v>7</v>
      </c>
      <c r="AF2" s="9">
        <f>AE2/(AD2+AE2)</f>
        <v>1.6666666666666666E-2</v>
      </c>
    </row>
    <row r="3" spans="1:32" x14ac:dyDescent="0.5">
      <c r="A3" s="2">
        <v>1</v>
      </c>
      <c r="B3" s="2" t="s">
        <v>33</v>
      </c>
      <c r="C3" s="2">
        <v>1564</v>
      </c>
      <c r="D3" s="2">
        <v>2</v>
      </c>
      <c r="E3" s="2">
        <v>152</v>
      </c>
      <c r="F3" s="2">
        <v>394</v>
      </c>
      <c r="G3" s="2">
        <v>513</v>
      </c>
      <c r="H3" s="9">
        <f t="shared" ref="H3:H33" si="0">G3/C3</f>
        <v>0.32800511508951408</v>
      </c>
      <c r="I3" s="2">
        <v>1400</v>
      </c>
      <c r="J3" s="2">
        <v>1</v>
      </c>
      <c r="K3" s="2">
        <v>1</v>
      </c>
      <c r="L3" s="2">
        <v>145</v>
      </c>
      <c r="M3" s="2">
        <v>2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3</v>
      </c>
      <c r="T3" s="2">
        <v>1</v>
      </c>
      <c r="U3" s="2">
        <v>18</v>
      </c>
      <c r="V3" s="2">
        <v>0</v>
      </c>
      <c r="W3" s="2">
        <v>255</v>
      </c>
      <c r="X3" s="2">
        <v>28</v>
      </c>
      <c r="Y3" s="2">
        <v>11</v>
      </c>
      <c r="Z3" s="2">
        <v>14</v>
      </c>
      <c r="AA3" s="2">
        <v>15</v>
      </c>
      <c r="AB3" s="2">
        <v>2</v>
      </c>
      <c r="AC3" s="2">
        <v>0</v>
      </c>
      <c r="AD3" s="2">
        <f t="shared" ref="AD3:AD32" si="1">SUM(J3:AC3)</f>
        <v>497</v>
      </c>
      <c r="AE3" s="2">
        <v>16</v>
      </c>
      <c r="AF3" s="9">
        <f t="shared" ref="AF3:AF33" si="2">AE3/(AD3+AE3)</f>
        <v>3.1189083820662766E-2</v>
      </c>
    </row>
    <row r="4" spans="1:32" x14ac:dyDescent="0.5">
      <c r="A4" s="2">
        <v>1</v>
      </c>
      <c r="B4" s="2" t="s">
        <v>34</v>
      </c>
      <c r="C4" s="2">
        <v>1282</v>
      </c>
      <c r="D4" s="2">
        <v>5</v>
      </c>
      <c r="E4" s="2">
        <v>147</v>
      </c>
      <c r="F4" s="2">
        <v>352</v>
      </c>
      <c r="G4" s="2">
        <v>441</v>
      </c>
      <c r="H4" s="9">
        <f t="shared" si="0"/>
        <v>0.34399375975039004</v>
      </c>
      <c r="I4" s="2">
        <v>1150</v>
      </c>
      <c r="J4" s="2">
        <v>0</v>
      </c>
      <c r="K4" s="2">
        <v>3</v>
      </c>
      <c r="L4" s="2">
        <v>139</v>
      </c>
      <c r="M4" s="2">
        <v>0</v>
      </c>
      <c r="N4" s="2">
        <v>0</v>
      </c>
      <c r="O4" s="2">
        <v>0</v>
      </c>
      <c r="P4" s="2">
        <v>1</v>
      </c>
      <c r="Q4" s="2">
        <v>1</v>
      </c>
      <c r="R4" s="2">
        <v>0</v>
      </c>
      <c r="S4" s="2">
        <v>0</v>
      </c>
      <c r="T4" s="2">
        <v>0</v>
      </c>
      <c r="U4" s="2">
        <v>10</v>
      </c>
      <c r="V4" s="2">
        <v>0</v>
      </c>
      <c r="W4" s="2">
        <v>186</v>
      </c>
      <c r="X4" s="2">
        <v>60</v>
      </c>
      <c r="Y4" s="2">
        <v>15</v>
      </c>
      <c r="Z4" s="2">
        <v>8</v>
      </c>
      <c r="AA4" s="2">
        <v>13</v>
      </c>
      <c r="AB4" s="2">
        <v>1</v>
      </c>
      <c r="AC4" s="2">
        <v>0</v>
      </c>
      <c r="AD4" s="2">
        <f t="shared" si="1"/>
        <v>437</v>
      </c>
      <c r="AE4" s="2">
        <v>4</v>
      </c>
      <c r="AF4" s="9">
        <f t="shared" si="2"/>
        <v>9.0702947845804991E-3</v>
      </c>
    </row>
    <row r="5" spans="1:32" x14ac:dyDescent="0.5">
      <c r="A5" s="2">
        <v>1</v>
      </c>
      <c r="B5" s="2" t="s">
        <v>35</v>
      </c>
      <c r="C5" s="2">
        <v>1494</v>
      </c>
      <c r="D5" s="2">
        <v>6</v>
      </c>
      <c r="E5" s="2">
        <v>132</v>
      </c>
      <c r="F5" s="2">
        <v>371</v>
      </c>
      <c r="G5" s="2">
        <v>505</v>
      </c>
      <c r="H5" s="9">
        <f t="shared" si="0"/>
        <v>0.33801874163319945</v>
      </c>
      <c r="I5" s="2">
        <v>1300</v>
      </c>
      <c r="J5" s="2">
        <v>1</v>
      </c>
      <c r="K5" s="2">
        <v>7</v>
      </c>
      <c r="L5" s="2">
        <v>201</v>
      </c>
      <c r="M5" s="2">
        <v>2</v>
      </c>
      <c r="N5" s="2">
        <v>1</v>
      </c>
      <c r="O5" s="2">
        <v>0</v>
      </c>
      <c r="P5" s="2">
        <v>2</v>
      </c>
      <c r="Q5" s="2">
        <v>0</v>
      </c>
      <c r="R5" s="2">
        <v>0</v>
      </c>
      <c r="S5" s="2">
        <v>1</v>
      </c>
      <c r="T5" s="2">
        <v>0</v>
      </c>
      <c r="U5" s="2">
        <v>28</v>
      </c>
      <c r="V5" s="2">
        <v>1</v>
      </c>
      <c r="W5" s="2">
        <v>173</v>
      </c>
      <c r="X5" s="2">
        <v>34</v>
      </c>
      <c r="Y5" s="2">
        <v>7</v>
      </c>
      <c r="Z5" s="2">
        <v>24</v>
      </c>
      <c r="AA5" s="2">
        <v>12</v>
      </c>
      <c r="AB5" s="2">
        <v>4</v>
      </c>
      <c r="AC5" s="2">
        <v>1</v>
      </c>
      <c r="AD5" s="2">
        <f t="shared" si="1"/>
        <v>499</v>
      </c>
      <c r="AE5" s="2">
        <v>6</v>
      </c>
      <c r="AF5" s="9">
        <f t="shared" si="2"/>
        <v>1.1881188118811881E-2</v>
      </c>
    </row>
    <row r="6" spans="1:32" x14ac:dyDescent="0.5">
      <c r="A6" s="2">
        <v>1</v>
      </c>
      <c r="B6" s="2" t="s">
        <v>36</v>
      </c>
      <c r="C6" s="2">
        <v>1218</v>
      </c>
      <c r="D6" s="2">
        <v>4</v>
      </c>
      <c r="E6" s="2">
        <v>137</v>
      </c>
      <c r="F6" s="2">
        <v>300</v>
      </c>
      <c r="G6" s="2">
        <v>381</v>
      </c>
      <c r="H6" s="9">
        <f t="shared" si="0"/>
        <v>0.31280788177339902</v>
      </c>
      <c r="I6" s="2">
        <v>1100</v>
      </c>
      <c r="J6" s="2">
        <v>1</v>
      </c>
      <c r="K6" s="2">
        <v>3</v>
      </c>
      <c r="L6" s="2">
        <v>98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3</v>
      </c>
      <c r="U6" s="2">
        <v>15</v>
      </c>
      <c r="V6" s="2">
        <v>1</v>
      </c>
      <c r="W6" s="2">
        <v>179</v>
      </c>
      <c r="X6" s="2">
        <v>47</v>
      </c>
      <c r="Y6" s="2">
        <v>11</v>
      </c>
      <c r="Z6" s="2">
        <v>8</v>
      </c>
      <c r="AA6" s="2">
        <v>6</v>
      </c>
      <c r="AB6" s="2">
        <v>0</v>
      </c>
      <c r="AC6" s="2">
        <v>0</v>
      </c>
      <c r="AD6" s="2">
        <f t="shared" si="1"/>
        <v>373</v>
      </c>
      <c r="AE6" s="2">
        <v>8</v>
      </c>
      <c r="AF6" s="9">
        <f t="shared" si="2"/>
        <v>2.0997375328083989E-2</v>
      </c>
    </row>
    <row r="7" spans="1:32" x14ac:dyDescent="0.5">
      <c r="A7" s="2">
        <v>1</v>
      </c>
      <c r="B7" s="2" t="s">
        <v>37</v>
      </c>
      <c r="C7" s="2">
        <v>1548</v>
      </c>
      <c r="D7" s="2">
        <v>5</v>
      </c>
      <c r="E7" s="2">
        <v>113</v>
      </c>
      <c r="F7" s="2">
        <v>363</v>
      </c>
      <c r="G7" s="2">
        <v>482</v>
      </c>
      <c r="H7" s="9">
        <f t="shared" si="0"/>
        <v>0.31136950904392763</v>
      </c>
      <c r="I7" s="2">
        <v>1400</v>
      </c>
      <c r="J7" s="2">
        <v>0</v>
      </c>
      <c r="K7" s="2">
        <v>5</v>
      </c>
      <c r="L7" s="2">
        <v>131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2</v>
      </c>
      <c r="T7" s="2">
        <v>1</v>
      </c>
      <c r="U7" s="2">
        <v>24</v>
      </c>
      <c r="V7" s="2">
        <v>0</v>
      </c>
      <c r="W7" s="2">
        <v>215</v>
      </c>
      <c r="X7" s="2">
        <v>50</v>
      </c>
      <c r="Y7" s="2">
        <v>15</v>
      </c>
      <c r="Z7" s="2">
        <v>13</v>
      </c>
      <c r="AA7" s="2">
        <v>15</v>
      </c>
      <c r="AB7" s="2">
        <v>1</v>
      </c>
      <c r="AC7" s="2">
        <v>0</v>
      </c>
      <c r="AD7" s="2">
        <f t="shared" si="1"/>
        <v>473</v>
      </c>
      <c r="AE7" s="2">
        <v>9</v>
      </c>
      <c r="AF7" s="9">
        <f t="shared" si="2"/>
        <v>1.8672199170124481E-2</v>
      </c>
    </row>
    <row r="8" spans="1:32" x14ac:dyDescent="0.5">
      <c r="A8" s="2">
        <v>1</v>
      </c>
      <c r="B8" s="2" t="s">
        <v>38</v>
      </c>
      <c r="C8" s="2">
        <v>1481</v>
      </c>
      <c r="D8" s="2">
        <v>5</v>
      </c>
      <c r="E8" s="2">
        <v>171</v>
      </c>
      <c r="F8" s="2">
        <v>432</v>
      </c>
      <c r="G8" s="2">
        <v>549</v>
      </c>
      <c r="H8" s="9">
        <f t="shared" si="0"/>
        <v>0.37069547602970965</v>
      </c>
      <c r="I8" s="2">
        <v>1350</v>
      </c>
      <c r="J8" s="2">
        <v>2</v>
      </c>
      <c r="K8" s="2">
        <v>6</v>
      </c>
      <c r="L8" s="2">
        <v>175</v>
      </c>
      <c r="M8" s="2">
        <v>0</v>
      </c>
      <c r="N8" s="2">
        <v>1</v>
      </c>
      <c r="O8" s="2">
        <v>1</v>
      </c>
      <c r="P8" s="2">
        <v>0</v>
      </c>
      <c r="Q8" s="2">
        <v>1</v>
      </c>
      <c r="R8" s="2">
        <v>1</v>
      </c>
      <c r="S8" s="2">
        <v>0</v>
      </c>
      <c r="T8" s="2">
        <v>1</v>
      </c>
      <c r="U8" s="2">
        <v>34</v>
      </c>
      <c r="V8" s="2">
        <v>0</v>
      </c>
      <c r="W8" s="2">
        <v>212</v>
      </c>
      <c r="X8" s="2">
        <v>31</v>
      </c>
      <c r="Y8" s="2">
        <v>21</v>
      </c>
      <c r="Z8" s="2">
        <v>17</v>
      </c>
      <c r="AA8" s="2">
        <v>15</v>
      </c>
      <c r="AB8" s="2">
        <v>2</v>
      </c>
      <c r="AC8" s="2">
        <v>12</v>
      </c>
      <c r="AD8" s="2">
        <f t="shared" si="1"/>
        <v>532</v>
      </c>
      <c r="AE8" s="2">
        <v>16</v>
      </c>
      <c r="AF8" s="9">
        <f t="shared" si="2"/>
        <v>2.9197080291970802E-2</v>
      </c>
    </row>
    <row r="9" spans="1:32" x14ac:dyDescent="0.5">
      <c r="A9" s="2">
        <v>1</v>
      </c>
      <c r="B9" s="2" t="s">
        <v>39</v>
      </c>
      <c r="C9" s="2">
        <v>1426</v>
      </c>
      <c r="D9" s="2">
        <v>7</v>
      </c>
      <c r="E9" s="2">
        <v>139</v>
      </c>
      <c r="F9" s="2">
        <v>360</v>
      </c>
      <c r="G9" s="2">
        <v>481</v>
      </c>
      <c r="H9" s="9">
        <f t="shared" si="0"/>
        <v>0.33730715287517532</v>
      </c>
      <c r="I9" s="2">
        <v>1250</v>
      </c>
      <c r="J9" s="2">
        <v>0</v>
      </c>
      <c r="K9" s="2">
        <v>3</v>
      </c>
      <c r="L9" s="2">
        <v>173</v>
      </c>
      <c r="M9" s="2">
        <v>1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17</v>
      </c>
      <c r="V9" s="2">
        <v>2</v>
      </c>
      <c r="W9" s="2">
        <v>179</v>
      </c>
      <c r="X9" s="2">
        <v>30</v>
      </c>
      <c r="Y9" s="2">
        <v>13</v>
      </c>
      <c r="Z9" s="2">
        <v>24</v>
      </c>
      <c r="AA9" s="2">
        <v>18</v>
      </c>
      <c r="AB9" s="2">
        <v>0</v>
      </c>
      <c r="AC9" s="2">
        <v>2</v>
      </c>
      <c r="AD9" s="2">
        <f t="shared" si="1"/>
        <v>465</v>
      </c>
      <c r="AE9" s="2">
        <v>12</v>
      </c>
      <c r="AF9" s="9">
        <f t="shared" si="2"/>
        <v>2.5157232704402517E-2</v>
      </c>
    </row>
    <row r="10" spans="1:32" x14ac:dyDescent="0.5">
      <c r="A10" s="2">
        <v>1</v>
      </c>
      <c r="B10" s="2" t="s">
        <v>40</v>
      </c>
      <c r="C10" s="2">
        <v>1151</v>
      </c>
      <c r="D10" s="2">
        <v>7</v>
      </c>
      <c r="E10" s="2">
        <v>82</v>
      </c>
      <c r="F10" s="2">
        <v>253</v>
      </c>
      <c r="G10" s="2">
        <v>339</v>
      </c>
      <c r="H10" s="9">
        <f t="shared" si="0"/>
        <v>0.29452649869678538</v>
      </c>
      <c r="I10" s="2">
        <v>1050</v>
      </c>
      <c r="J10" s="2">
        <v>0</v>
      </c>
      <c r="K10" s="2">
        <v>2</v>
      </c>
      <c r="L10" s="2">
        <v>110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14</v>
      </c>
      <c r="V10" s="2">
        <v>1</v>
      </c>
      <c r="W10" s="2">
        <v>142</v>
      </c>
      <c r="X10" s="2">
        <v>22</v>
      </c>
      <c r="Y10" s="2">
        <v>8</v>
      </c>
      <c r="Z10" s="2">
        <v>14</v>
      </c>
      <c r="AA10" s="2">
        <v>18</v>
      </c>
      <c r="AB10" s="2">
        <v>0</v>
      </c>
      <c r="AC10" s="2">
        <v>0</v>
      </c>
      <c r="AD10" s="2">
        <f t="shared" si="1"/>
        <v>333</v>
      </c>
      <c r="AE10" s="2">
        <v>6</v>
      </c>
      <c r="AF10" s="9">
        <f t="shared" si="2"/>
        <v>1.7699115044247787E-2</v>
      </c>
    </row>
    <row r="11" spans="1:32" x14ac:dyDescent="0.5">
      <c r="A11" s="2">
        <v>1</v>
      </c>
      <c r="B11" s="2" t="s">
        <v>41</v>
      </c>
      <c r="C11" s="2">
        <v>1459</v>
      </c>
      <c r="D11" s="2">
        <v>6</v>
      </c>
      <c r="E11" s="2">
        <v>142</v>
      </c>
      <c r="F11" s="2">
        <v>404</v>
      </c>
      <c r="G11" s="2">
        <v>513</v>
      </c>
      <c r="H11" s="9">
        <f t="shared" si="0"/>
        <v>0.35161069225496916</v>
      </c>
      <c r="I11" s="2">
        <v>1300</v>
      </c>
      <c r="J11" s="2">
        <v>0</v>
      </c>
      <c r="K11" s="2">
        <v>4</v>
      </c>
      <c r="L11" s="2">
        <v>179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1</v>
      </c>
      <c r="S11" s="2">
        <v>1</v>
      </c>
      <c r="T11" s="2">
        <v>0</v>
      </c>
      <c r="U11" s="2">
        <v>27</v>
      </c>
      <c r="V11" s="2">
        <v>0</v>
      </c>
      <c r="W11" s="2">
        <v>191</v>
      </c>
      <c r="X11" s="2">
        <v>36</v>
      </c>
      <c r="Y11" s="2">
        <v>19</v>
      </c>
      <c r="Z11" s="2">
        <v>22</v>
      </c>
      <c r="AA11" s="2">
        <v>25</v>
      </c>
      <c r="AB11" s="2">
        <v>1</v>
      </c>
      <c r="AC11" s="2">
        <v>0</v>
      </c>
      <c r="AD11" s="2">
        <f t="shared" si="1"/>
        <v>507</v>
      </c>
      <c r="AE11" s="2">
        <v>6</v>
      </c>
      <c r="AF11" s="9">
        <f t="shared" si="2"/>
        <v>1.1695906432748537E-2</v>
      </c>
    </row>
    <row r="12" spans="1:32" x14ac:dyDescent="0.5">
      <c r="A12" s="2">
        <v>1</v>
      </c>
      <c r="B12" s="2" t="s">
        <v>42</v>
      </c>
      <c r="C12" s="2">
        <v>1513</v>
      </c>
      <c r="D12" s="2">
        <v>6</v>
      </c>
      <c r="E12" s="2">
        <v>158</v>
      </c>
      <c r="F12" s="2">
        <v>439</v>
      </c>
      <c r="G12" s="2">
        <v>548</v>
      </c>
      <c r="H12" s="9">
        <f t="shared" si="0"/>
        <v>0.36219431592861862</v>
      </c>
      <c r="I12" s="2">
        <v>1350</v>
      </c>
      <c r="J12" s="2">
        <v>1</v>
      </c>
      <c r="K12" s="2">
        <v>5</v>
      </c>
      <c r="L12" s="2">
        <v>205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23</v>
      </c>
      <c r="V12" s="2">
        <v>0</v>
      </c>
      <c r="W12" s="2">
        <v>220</v>
      </c>
      <c r="X12" s="2">
        <v>38</v>
      </c>
      <c r="Y12" s="2">
        <v>13</v>
      </c>
      <c r="Z12" s="2">
        <v>11</v>
      </c>
      <c r="AA12" s="2">
        <v>14</v>
      </c>
      <c r="AB12" s="2">
        <v>0</v>
      </c>
      <c r="AC12" s="2">
        <v>2</v>
      </c>
      <c r="AD12" s="2">
        <f t="shared" si="1"/>
        <v>534</v>
      </c>
      <c r="AE12" s="2">
        <v>14</v>
      </c>
      <c r="AF12" s="9">
        <f t="shared" si="2"/>
        <v>2.5547445255474453E-2</v>
      </c>
    </row>
    <row r="13" spans="1:32" x14ac:dyDescent="0.5">
      <c r="A13" s="2">
        <v>1</v>
      </c>
      <c r="B13" s="2" t="s">
        <v>43</v>
      </c>
      <c r="C13" s="2">
        <v>1531</v>
      </c>
      <c r="D13" s="2">
        <v>8</v>
      </c>
      <c r="E13" s="2">
        <v>176</v>
      </c>
      <c r="F13" s="2">
        <v>384</v>
      </c>
      <c r="G13" s="2">
        <v>511</v>
      </c>
      <c r="H13" s="9">
        <f t="shared" si="0"/>
        <v>0.33376877857609405</v>
      </c>
      <c r="I13" s="2">
        <v>1350</v>
      </c>
      <c r="J13" s="2">
        <v>1</v>
      </c>
      <c r="K13" s="2">
        <v>4</v>
      </c>
      <c r="L13" s="2">
        <v>186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31</v>
      </c>
      <c r="V13" s="2">
        <v>1</v>
      </c>
      <c r="W13" s="2">
        <v>197</v>
      </c>
      <c r="X13" s="2">
        <v>38</v>
      </c>
      <c r="Y13" s="2">
        <v>12</v>
      </c>
      <c r="Z13" s="2">
        <v>13</v>
      </c>
      <c r="AA13" s="2">
        <v>10</v>
      </c>
      <c r="AB13" s="2">
        <v>0</v>
      </c>
      <c r="AC13" s="2">
        <v>3</v>
      </c>
      <c r="AD13" s="2">
        <f t="shared" si="1"/>
        <v>497</v>
      </c>
      <c r="AE13" s="2">
        <v>14</v>
      </c>
      <c r="AF13" s="9">
        <f t="shared" si="2"/>
        <v>2.7397260273972601E-2</v>
      </c>
    </row>
    <row r="14" spans="1:32" x14ac:dyDescent="0.5">
      <c r="A14" s="2">
        <v>1</v>
      </c>
      <c r="B14" s="2" t="s">
        <v>44</v>
      </c>
      <c r="C14" s="2">
        <v>1632</v>
      </c>
      <c r="D14" s="2">
        <v>1</v>
      </c>
      <c r="E14" s="2">
        <v>169</v>
      </c>
      <c r="F14" s="2">
        <v>472</v>
      </c>
      <c r="G14" s="2">
        <v>585</v>
      </c>
      <c r="H14" s="9">
        <f t="shared" si="0"/>
        <v>0.35845588235294118</v>
      </c>
      <c r="I14" s="2">
        <v>1450</v>
      </c>
      <c r="J14" s="2">
        <v>0</v>
      </c>
      <c r="K14" s="2">
        <v>4</v>
      </c>
      <c r="L14" s="2">
        <v>229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1</v>
      </c>
      <c r="T14" s="2">
        <v>0</v>
      </c>
      <c r="U14" s="2">
        <v>34</v>
      </c>
      <c r="V14" s="2">
        <v>1</v>
      </c>
      <c r="W14" s="2">
        <v>207</v>
      </c>
      <c r="X14" s="2">
        <v>37</v>
      </c>
      <c r="Y14" s="2">
        <v>27</v>
      </c>
      <c r="Z14" s="2">
        <v>14</v>
      </c>
      <c r="AA14" s="2">
        <v>18</v>
      </c>
      <c r="AB14" s="2">
        <v>0</v>
      </c>
      <c r="AC14" s="2">
        <v>1</v>
      </c>
      <c r="AD14" s="2">
        <f t="shared" si="1"/>
        <v>574</v>
      </c>
      <c r="AE14" s="2">
        <v>11</v>
      </c>
      <c r="AF14" s="9">
        <f t="shared" si="2"/>
        <v>1.8803418803418803E-2</v>
      </c>
    </row>
    <row r="15" spans="1:32" x14ac:dyDescent="0.5">
      <c r="A15" s="2">
        <v>1</v>
      </c>
      <c r="B15" s="2" t="s">
        <v>45</v>
      </c>
      <c r="C15" s="2">
        <v>1284</v>
      </c>
      <c r="D15" s="2">
        <v>2</v>
      </c>
      <c r="E15" s="2">
        <v>161</v>
      </c>
      <c r="F15" s="2">
        <v>357</v>
      </c>
      <c r="G15" s="2">
        <v>432</v>
      </c>
      <c r="H15" s="9">
        <f t="shared" si="0"/>
        <v>0.3364485981308411</v>
      </c>
      <c r="I15" s="2">
        <v>1150</v>
      </c>
      <c r="J15" s="2">
        <v>2</v>
      </c>
      <c r="K15" s="2">
        <v>3</v>
      </c>
      <c r="L15" s="2">
        <v>131</v>
      </c>
      <c r="M15" s="2">
        <v>0</v>
      </c>
      <c r="N15" s="2">
        <v>0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11</v>
      </c>
      <c r="V15" s="2">
        <v>0</v>
      </c>
      <c r="W15" s="2">
        <v>235</v>
      </c>
      <c r="X15" s="2">
        <v>8</v>
      </c>
      <c r="Y15" s="2">
        <v>6</v>
      </c>
      <c r="Z15" s="2">
        <v>16</v>
      </c>
      <c r="AA15" s="2">
        <v>11</v>
      </c>
      <c r="AB15" s="2">
        <v>0</v>
      </c>
      <c r="AC15" s="2">
        <v>2</v>
      </c>
      <c r="AD15" s="2">
        <f t="shared" si="1"/>
        <v>426</v>
      </c>
      <c r="AE15" s="2">
        <v>6</v>
      </c>
      <c r="AF15" s="9">
        <f t="shared" si="2"/>
        <v>1.3888888888888888E-2</v>
      </c>
    </row>
    <row r="16" spans="1:32" x14ac:dyDescent="0.5">
      <c r="A16" s="2">
        <v>1</v>
      </c>
      <c r="B16" s="2" t="s">
        <v>46</v>
      </c>
      <c r="C16" s="2">
        <v>1215</v>
      </c>
      <c r="D16" s="2">
        <v>4</v>
      </c>
      <c r="E16" s="2">
        <v>136</v>
      </c>
      <c r="F16" s="2">
        <v>331</v>
      </c>
      <c r="G16" s="2">
        <v>429</v>
      </c>
      <c r="H16" s="9">
        <f t="shared" si="0"/>
        <v>0.35308641975308641</v>
      </c>
      <c r="I16" s="2">
        <v>1100</v>
      </c>
      <c r="J16" s="2">
        <v>0</v>
      </c>
      <c r="K16" s="2">
        <v>5</v>
      </c>
      <c r="L16" s="2">
        <v>175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25</v>
      </c>
      <c r="V16" s="2">
        <v>0</v>
      </c>
      <c r="W16" s="2">
        <v>164</v>
      </c>
      <c r="X16" s="2">
        <v>16</v>
      </c>
      <c r="Y16" s="2">
        <v>12</v>
      </c>
      <c r="Z16" s="2">
        <v>18</v>
      </c>
      <c r="AA16" s="2">
        <v>6</v>
      </c>
      <c r="AB16" s="2">
        <v>1</v>
      </c>
      <c r="AC16" s="2">
        <v>0</v>
      </c>
      <c r="AD16" s="2">
        <f t="shared" si="1"/>
        <v>424</v>
      </c>
      <c r="AE16" s="2">
        <v>5</v>
      </c>
      <c r="AF16" s="9">
        <f t="shared" si="2"/>
        <v>1.1655011655011656E-2</v>
      </c>
    </row>
    <row r="17" spans="1:32" x14ac:dyDescent="0.5">
      <c r="A17" s="2">
        <v>1</v>
      </c>
      <c r="B17" s="2" t="s">
        <v>47</v>
      </c>
      <c r="C17" s="2">
        <v>1398</v>
      </c>
      <c r="D17" s="2">
        <v>2</v>
      </c>
      <c r="E17" s="2">
        <v>171</v>
      </c>
      <c r="F17" s="2">
        <v>440</v>
      </c>
      <c r="G17" s="2">
        <v>558</v>
      </c>
      <c r="H17" s="9">
        <f t="shared" si="0"/>
        <v>0.39914163090128757</v>
      </c>
      <c r="I17" s="2">
        <v>1250</v>
      </c>
      <c r="J17" s="2">
        <v>0</v>
      </c>
      <c r="K17" s="2">
        <v>3</v>
      </c>
      <c r="L17" s="2">
        <v>181</v>
      </c>
      <c r="M17" s="2">
        <v>1</v>
      </c>
      <c r="N17" s="2">
        <v>1</v>
      </c>
      <c r="O17" s="2">
        <v>0</v>
      </c>
      <c r="P17" s="2">
        <v>0</v>
      </c>
      <c r="Q17" s="2">
        <v>0</v>
      </c>
      <c r="R17" s="2">
        <v>1</v>
      </c>
      <c r="S17" s="2">
        <v>1</v>
      </c>
      <c r="T17" s="2">
        <v>0</v>
      </c>
      <c r="U17" s="2">
        <v>24</v>
      </c>
      <c r="V17" s="2">
        <v>0</v>
      </c>
      <c r="W17" s="2">
        <v>247</v>
      </c>
      <c r="X17" s="2">
        <v>34</v>
      </c>
      <c r="Y17" s="2">
        <v>20</v>
      </c>
      <c r="Z17" s="2">
        <v>4</v>
      </c>
      <c r="AA17" s="2">
        <v>23</v>
      </c>
      <c r="AB17" s="2">
        <v>2</v>
      </c>
      <c r="AC17" s="2">
        <v>4</v>
      </c>
      <c r="AD17" s="2">
        <f t="shared" si="1"/>
        <v>546</v>
      </c>
      <c r="AE17" s="2">
        <v>12</v>
      </c>
      <c r="AF17" s="9">
        <f t="shared" si="2"/>
        <v>2.1505376344086023E-2</v>
      </c>
    </row>
    <row r="18" spans="1:32" x14ac:dyDescent="0.5">
      <c r="A18" s="2">
        <v>1</v>
      </c>
      <c r="B18" s="2" t="s">
        <v>48</v>
      </c>
      <c r="C18" s="2">
        <v>1499</v>
      </c>
      <c r="D18" s="2">
        <v>7</v>
      </c>
      <c r="E18" s="2">
        <v>151</v>
      </c>
      <c r="F18" s="2">
        <v>391</v>
      </c>
      <c r="G18" s="2">
        <v>518</v>
      </c>
      <c r="H18" s="9">
        <f t="shared" si="0"/>
        <v>0.3455637091394263</v>
      </c>
      <c r="I18" s="2">
        <v>1300</v>
      </c>
      <c r="J18" s="2">
        <v>1</v>
      </c>
      <c r="K18" s="2">
        <v>6</v>
      </c>
      <c r="L18" s="2">
        <v>206</v>
      </c>
      <c r="M18" s="2">
        <v>0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3</v>
      </c>
      <c r="U18" s="2">
        <v>15</v>
      </c>
      <c r="V18" s="2">
        <v>0</v>
      </c>
      <c r="W18" s="2">
        <v>184</v>
      </c>
      <c r="X18" s="2">
        <v>50</v>
      </c>
      <c r="Y18" s="2">
        <v>13</v>
      </c>
      <c r="Z18" s="2">
        <v>10</v>
      </c>
      <c r="AA18" s="2">
        <v>21</v>
      </c>
      <c r="AB18" s="2">
        <v>1</v>
      </c>
      <c r="AC18" s="2">
        <v>0</v>
      </c>
      <c r="AD18" s="2">
        <f t="shared" si="1"/>
        <v>512</v>
      </c>
      <c r="AE18" s="2">
        <v>6</v>
      </c>
      <c r="AF18" s="9">
        <f t="shared" si="2"/>
        <v>1.1583011583011582E-2</v>
      </c>
    </row>
    <row r="19" spans="1:32" x14ac:dyDescent="0.5">
      <c r="A19" s="2">
        <v>1</v>
      </c>
      <c r="B19" s="2" t="s">
        <v>49</v>
      </c>
      <c r="C19" s="2">
        <v>986</v>
      </c>
      <c r="D19" s="2">
        <v>4</v>
      </c>
      <c r="E19" s="2">
        <v>81</v>
      </c>
      <c r="F19" s="2">
        <v>238</v>
      </c>
      <c r="G19" s="2">
        <v>293</v>
      </c>
      <c r="H19" s="9">
        <f t="shared" si="0"/>
        <v>0.29716024340770791</v>
      </c>
      <c r="I19" s="2">
        <v>850</v>
      </c>
      <c r="J19" s="2">
        <v>1</v>
      </c>
      <c r="K19" s="2">
        <v>3</v>
      </c>
      <c r="L19" s="2">
        <v>113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19</v>
      </c>
      <c r="V19" s="2">
        <v>0</v>
      </c>
      <c r="W19" s="2">
        <v>105</v>
      </c>
      <c r="X19" s="2">
        <v>20</v>
      </c>
      <c r="Y19" s="2">
        <v>9</v>
      </c>
      <c r="Z19" s="2">
        <v>6</v>
      </c>
      <c r="AA19" s="2">
        <v>10</v>
      </c>
      <c r="AB19" s="2">
        <v>0</v>
      </c>
      <c r="AC19" s="2">
        <v>3</v>
      </c>
      <c r="AD19" s="2">
        <f t="shared" si="1"/>
        <v>289</v>
      </c>
      <c r="AE19" s="2">
        <v>4</v>
      </c>
      <c r="AF19" s="9">
        <f t="shared" si="2"/>
        <v>1.3651877133105802E-2</v>
      </c>
    </row>
    <row r="20" spans="1:32" x14ac:dyDescent="0.5">
      <c r="A20" s="2">
        <v>1</v>
      </c>
      <c r="B20" s="2" t="s">
        <v>50</v>
      </c>
      <c r="C20" s="2">
        <v>1101</v>
      </c>
      <c r="D20" s="2">
        <v>4</v>
      </c>
      <c r="E20" s="2">
        <v>106</v>
      </c>
      <c r="F20" s="2">
        <v>266</v>
      </c>
      <c r="G20" s="2">
        <v>350</v>
      </c>
      <c r="H20" s="9">
        <f t="shared" si="0"/>
        <v>0.31789282470481378</v>
      </c>
      <c r="I20" s="2">
        <v>1000</v>
      </c>
      <c r="J20" s="2">
        <v>0</v>
      </c>
      <c r="K20" s="2">
        <v>7</v>
      </c>
      <c r="L20" s="2">
        <v>141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11</v>
      </c>
      <c r="V20" s="2">
        <v>0</v>
      </c>
      <c r="W20" s="2">
        <v>140</v>
      </c>
      <c r="X20" s="2">
        <v>13</v>
      </c>
      <c r="Y20" s="2">
        <v>10</v>
      </c>
      <c r="Z20" s="2">
        <v>8</v>
      </c>
      <c r="AA20" s="2">
        <v>10</v>
      </c>
      <c r="AB20" s="2">
        <v>0</v>
      </c>
      <c r="AC20" s="2">
        <v>3</v>
      </c>
      <c r="AD20" s="2">
        <f t="shared" si="1"/>
        <v>345</v>
      </c>
      <c r="AE20" s="2">
        <v>5</v>
      </c>
      <c r="AF20" s="9">
        <f t="shared" si="2"/>
        <v>1.4285714285714285E-2</v>
      </c>
    </row>
    <row r="21" spans="1:32" x14ac:dyDescent="0.5">
      <c r="A21" s="2">
        <v>1</v>
      </c>
      <c r="B21" s="2" t="s">
        <v>51</v>
      </c>
      <c r="C21" s="2">
        <v>1487</v>
      </c>
      <c r="D21" s="2">
        <v>4</v>
      </c>
      <c r="E21" s="2">
        <v>121</v>
      </c>
      <c r="F21" s="2">
        <v>345</v>
      </c>
      <c r="G21" s="2">
        <v>436</v>
      </c>
      <c r="H21" s="9">
        <f t="shared" si="0"/>
        <v>0.29320780094149296</v>
      </c>
      <c r="I21" s="2">
        <v>1350</v>
      </c>
      <c r="J21" s="2">
        <v>0</v>
      </c>
      <c r="K21" s="2">
        <v>5</v>
      </c>
      <c r="L21" s="2">
        <v>147</v>
      </c>
      <c r="M21" s="2">
        <v>1</v>
      </c>
      <c r="N21" s="2">
        <v>0</v>
      </c>
      <c r="O21" s="2">
        <v>0</v>
      </c>
      <c r="P21" s="2">
        <v>1</v>
      </c>
      <c r="Q21" s="2">
        <v>0</v>
      </c>
      <c r="R21" s="2">
        <v>1</v>
      </c>
      <c r="S21" s="2">
        <v>2</v>
      </c>
      <c r="T21" s="2">
        <v>1</v>
      </c>
      <c r="U21" s="2">
        <v>19</v>
      </c>
      <c r="V21" s="2">
        <v>0</v>
      </c>
      <c r="W21" s="2">
        <v>182</v>
      </c>
      <c r="X21" s="2">
        <v>21</v>
      </c>
      <c r="Y21" s="2">
        <v>6</v>
      </c>
      <c r="Z21" s="2">
        <v>12</v>
      </c>
      <c r="AA21" s="2">
        <v>24</v>
      </c>
      <c r="AB21" s="2">
        <v>0</v>
      </c>
      <c r="AC21" s="2">
        <v>2</v>
      </c>
      <c r="AD21" s="2">
        <f t="shared" si="1"/>
        <v>424</v>
      </c>
      <c r="AE21" s="2">
        <v>12</v>
      </c>
      <c r="AF21" s="9">
        <f t="shared" si="2"/>
        <v>2.7522935779816515E-2</v>
      </c>
    </row>
    <row r="22" spans="1:32" x14ac:dyDescent="0.5">
      <c r="A22" s="2">
        <v>1</v>
      </c>
      <c r="B22" s="2" t="s">
        <v>52</v>
      </c>
      <c r="C22" s="2">
        <v>1372</v>
      </c>
      <c r="D22" s="2">
        <v>6</v>
      </c>
      <c r="E22" s="2">
        <v>156</v>
      </c>
      <c r="F22" s="2">
        <v>374</v>
      </c>
      <c r="G22" s="2">
        <v>493</v>
      </c>
      <c r="H22" s="9">
        <f t="shared" si="0"/>
        <v>0.35932944606413997</v>
      </c>
      <c r="I22" s="2">
        <v>1250</v>
      </c>
      <c r="J22" s="2">
        <v>0</v>
      </c>
      <c r="K22" s="2">
        <v>8</v>
      </c>
      <c r="L22" s="2">
        <v>236</v>
      </c>
      <c r="M22" s="2">
        <v>0</v>
      </c>
      <c r="N22" s="2">
        <v>0</v>
      </c>
      <c r="O22" s="2">
        <v>1</v>
      </c>
      <c r="P22" s="2">
        <v>1</v>
      </c>
      <c r="Q22" s="2">
        <v>1</v>
      </c>
      <c r="R22" s="2">
        <v>0</v>
      </c>
      <c r="S22" s="2">
        <v>0</v>
      </c>
      <c r="T22" s="2">
        <v>1</v>
      </c>
      <c r="U22" s="2">
        <v>21</v>
      </c>
      <c r="V22" s="2">
        <v>1</v>
      </c>
      <c r="W22" s="2">
        <v>145</v>
      </c>
      <c r="X22" s="2">
        <v>25</v>
      </c>
      <c r="Y22" s="2">
        <v>20</v>
      </c>
      <c r="Z22" s="2">
        <v>6</v>
      </c>
      <c r="AA22" s="2">
        <v>14</v>
      </c>
      <c r="AB22" s="2">
        <v>0</v>
      </c>
      <c r="AC22" s="2">
        <v>0</v>
      </c>
      <c r="AD22" s="2">
        <f t="shared" si="1"/>
        <v>480</v>
      </c>
      <c r="AE22" s="2">
        <v>13</v>
      </c>
      <c r="AF22" s="9">
        <f t="shared" si="2"/>
        <v>2.6369168356997971E-2</v>
      </c>
    </row>
    <row r="23" spans="1:32" x14ac:dyDescent="0.5">
      <c r="A23" s="2">
        <v>1</v>
      </c>
      <c r="B23" s="2" t="s">
        <v>53</v>
      </c>
      <c r="C23" s="2">
        <v>1533</v>
      </c>
      <c r="D23" s="2">
        <v>2</v>
      </c>
      <c r="E23" s="2">
        <v>165</v>
      </c>
      <c r="F23" s="2">
        <v>405</v>
      </c>
      <c r="G23" s="2">
        <v>528</v>
      </c>
      <c r="H23" s="9">
        <f t="shared" si="0"/>
        <v>0.34442270058708413</v>
      </c>
      <c r="I23" s="2">
        <v>1400</v>
      </c>
      <c r="J23" s="2">
        <v>1</v>
      </c>
      <c r="K23" s="2">
        <v>3</v>
      </c>
      <c r="L23" s="2">
        <v>210</v>
      </c>
      <c r="M23" s="2">
        <v>0</v>
      </c>
      <c r="N23" s="2">
        <v>0</v>
      </c>
      <c r="O23" s="2">
        <v>1</v>
      </c>
      <c r="P23" s="2">
        <v>1</v>
      </c>
      <c r="Q23" s="2">
        <v>0</v>
      </c>
      <c r="R23" s="2">
        <v>0</v>
      </c>
      <c r="S23" s="2">
        <v>1</v>
      </c>
      <c r="T23" s="2">
        <v>1</v>
      </c>
      <c r="U23" s="2">
        <v>38</v>
      </c>
      <c r="V23" s="2">
        <v>0</v>
      </c>
      <c r="W23" s="2">
        <v>164</v>
      </c>
      <c r="X23" s="2">
        <v>33</v>
      </c>
      <c r="Y23" s="2">
        <v>19</v>
      </c>
      <c r="Z23" s="2">
        <v>15</v>
      </c>
      <c r="AA23" s="2">
        <v>20</v>
      </c>
      <c r="AB23" s="2">
        <v>7</v>
      </c>
      <c r="AC23" s="2">
        <v>1</v>
      </c>
      <c r="AD23" s="2">
        <f t="shared" si="1"/>
        <v>515</v>
      </c>
      <c r="AE23" s="2">
        <v>13</v>
      </c>
      <c r="AF23" s="9">
        <f t="shared" si="2"/>
        <v>2.462121212121212E-2</v>
      </c>
    </row>
    <row r="24" spans="1:32" x14ac:dyDescent="0.5">
      <c r="A24" s="2">
        <v>1</v>
      </c>
      <c r="B24" s="2" t="s">
        <v>54</v>
      </c>
      <c r="C24" s="2">
        <v>1537</v>
      </c>
      <c r="D24" s="2">
        <v>4</v>
      </c>
      <c r="E24" s="2">
        <v>127</v>
      </c>
      <c r="F24" s="2">
        <v>412</v>
      </c>
      <c r="G24" s="2">
        <v>516</v>
      </c>
      <c r="H24" s="9">
        <f t="shared" si="0"/>
        <v>0.33571893298633704</v>
      </c>
      <c r="I24" s="2">
        <v>1400</v>
      </c>
      <c r="J24" s="2">
        <v>0</v>
      </c>
      <c r="K24" s="2">
        <v>2</v>
      </c>
      <c r="L24" s="2">
        <v>184</v>
      </c>
      <c r="M24" s="2">
        <v>0</v>
      </c>
      <c r="N24" s="2">
        <v>1</v>
      </c>
      <c r="O24" s="2">
        <v>0</v>
      </c>
      <c r="P24" s="2">
        <v>0</v>
      </c>
      <c r="Q24" s="2">
        <v>0</v>
      </c>
      <c r="R24" s="2">
        <v>1</v>
      </c>
      <c r="S24" s="2">
        <v>1</v>
      </c>
      <c r="T24" s="2">
        <v>0</v>
      </c>
      <c r="U24" s="2">
        <v>18</v>
      </c>
      <c r="V24" s="2">
        <v>0</v>
      </c>
      <c r="W24" s="2">
        <v>202</v>
      </c>
      <c r="X24" s="2">
        <v>46</v>
      </c>
      <c r="Y24" s="2">
        <v>22</v>
      </c>
      <c r="Z24" s="2">
        <v>12</v>
      </c>
      <c r="AA24" s="2">
        <v>12</v>
      </c>
      <c r="AB24" s="2">
        <v>1</v>
      </c>
      <c r="AC24" s="2">
        <v>0</v>
      </c>
      <c r="AD24" s="2">
        <f t="shared" si="1"/>
        <v>502</v>
      </c>
      <c r="AE24" s="2">
        <v>14</v>
      </c>
      <c r="AF24" s="9">
        <f t="shared" si="2"/>
        <v>2.7131782945736434E-2</v>
      </c>
    </row>
    <row r="25" spans="1:32" x14ac:dyDescent="0.5">
      <c r="A25" s="2">
        <v>1</v>
      </c>
      <c r="B25" s="2" t="s">
        <v>55</v>
      </c>
      <c r="C25" s="2">
        <v>1481</v>
      </c>
      <c r="D25" s="2">
        <v>4</v>
      </c>
      <c r="E25" s="2">
        <v>150</v>
      </c>
      <c r="F25" s="2">
        <v>429</v>
      </c>
      <c r="G25" s="2">
        <v>562</v>
      </c>
      <c r="H25" s="9">
        <f t="shared" si="0"/>
        <v>0.37947332883187035</v>
      </c>
      <c r="I25" s="2">
        <v>1350</v>
      </c>
      <c r="J25" s="2">
        <v>0</v>
      </c>
      <c r="K25" s="2">
        <v>6</v>
      </c>
      <c r="L25" s="2">
        <v>222</v>
      </c>
      <c r="M25" s="2">
        <v>2</v>
      </c>
      <c r="N25" s="2">
        <v>0</v>
      </c>
      <c r="O25" s="2">
        <v>0</v>
      </c>
      <c r="P25" s="2">
        <v>1</v>
      </c>
      <c r="Q25" s="2">
        <v>0</v>
      </c>
      <c r="R25" s="2">
        <v>1</v>
      </c>
      <c r="S25" s="2">
        <v>1</v>
      </c>
      <c r="T25" s="2">
        <v>0</v>
      </c>
      <c r="U25" s="2">
        <v>30</v>
      </c>
      <c r="V25" s="2">
        <v>0</v>
      </c>
      <c r="W25" s="2">
        <v>212</v>
      </c>
      <c r="X25" s="2">
        <v>17</v>
      </c>
      <c r="Y25" s="2">
        <v>28</v>
      </c>
      <c r="Z25" s="2">
        <v>11</v>
      </c>
      <c r="AA25" s="2">
        <v>23</v>
      </c>
      <c r="AB25" s="2">
        <v>2</v>
      </c>
      <c r="AC25" s="2">
        <v>1</v>
      </c>
      <c r="AD25" s="2">
        <f t="shared" si="1"/>
        <v>557</v>
      </c>
      <c r="AE25" s="2">
        <v>5</v>
      </c>
      <c r="AF25" s="9">
        <f t="shared" si="2"/>
        <v>8.8967971530249119E-3</v>
      </c>
    </row>
    <row r="26" spans="1:32" x14ac:dyDescent="0.5">
      <c r="A26" s="2">
        <v>1</v>
      </c>
      <c r="B26" s="2" t="s">
        <v>56</v>
      </c>
      <c r="C26" s="2">
        <v>1443</v>
      </c>
      <c r="D26" s="2">
        <v>4</v>
      </c>
      <c r="E26" s="2">
        <v>202</v>
      </c>
      <c r="F26" s="2">
        <v>420</v>
      </c>
      <c r="G26" s="2">
        <v>522</v>
      </c>
      <c r="H26" s="9">
        <f t="shared" si="0"/>
        <v>0.36174636174636177</v>
      </c>
      <c r="I26" s="2">
        <v>1350</v>
      </c>
      <c r="J26" s="2">
        <v>2</v>
      </c>
      <c r="K26" s="2">
        <v>0</v>
      </c>
      <c r="L26" s="2">
        <v>193</v>
      </c>
      <c r="M26" s="2">
        <v>0</v>
      </c>
      <c r="N26" s="2">
        <v>0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14</v>
      </c>
      <c r="V26" s="2">
        <v>0</v>
      </c>
      <c r="W26" s="2">
        <v>261</v>
      </c>
      <c r="X26" s="2">
        <v>19</v>
      </c>
      <c r="Y26" s="2">
        <v>4</v>
      </c>
      <c r="Z26" s="2">
        <v>13</v>
      </c>
      <c r="AA26" s="2">
        <v>7</v>
      </c>
      <c r="AB26" s="2">
        <v>0</v>
      </c>
      <c r="AC26" s="2">
        <v>0</v>
      </c>
      <c r="AD26" s="2">
        <f t="shared" si="1"/>
        <v>514</v>
      </c>
      <c r="AE26" s="2">
        <v>8</v>
      </c>
      <c r="AF26" s="9">
        <f t="shared" si="2"/>
        <v>1.532567049808429E-2</v>
      </c>
    </row>
    <row r="27" spans="1:32" x14ac:dyDescent="0.5">
      <c r="A27" s="2">
        <v>1</v>
      </c>
      <c r="B27" s="2" t="s">
        <v>57</v>
      </c>
      <c r="C27" s="2">
        <v>1188</v>
      </c>
      <c r="D27" s="2">
        <v>8</v>
      </c>
      <c r="E27" s="2">
        <v>126</v>
      </c>
      <c r="F27" s="2">
        <v>315</v>
      </c>
      <c r="G27" s="2">
        <v>399</v>
      </c>
      <c r="H27" s="9">
        <f t="shared" si="0"/>
        <v>0.33585858585858586</v>
      </c>
      <c r="I27" s="2">
        <v>1050</v>
      </c>
      <c r="J27" s="2">
        <v>0</v>
      </c>
      <c r="K27" s="2">
        <v>1</v>
      </c>
      <c r="L27" s="2">
        <v>200</v>
      </c>
      <c r="M27" s="2">
        <v>2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16</v>
      </c>
      <c r="V27" s="2">
        <v>0</v>
      </c>
      <c r="W27" s="2">
        <v>114</v>
      </c>
      <c r="X27" s="2">
        <v>25</v>
      </c>
      <c r="Y27" s="2">
        <v>11</v>
      </c>
      <c r="Z27" s="2">
        <v>6</v>
      </c>
      <c r="AA27" s="2">
        <v>14</v>
      </c>
      <c r="AB27" s="2">
        <v>0</v>
      </c>
      <c r="AC27" s="2">
        <v>2</v>
      </c>
      <c r="AD27" s="2">
        <f t="shared" si="1"/>
        <v>391</v>
      </c>
      <c r="AE27" s="2">
        <v>8</v>
      </c>
      <c r="AF27" s="9">
        <f t="shared" si="2"/>
        <v>2.0050125313283207E-2</v>
      </c>
    </row>
    <row r="28" spans="1:32" x14ac:dyDescent="0.5">
      <c r="A28" s="2">
        <v>1</v>
      </c>
      <c r="B28" s="2" t="s">
        <v>58</v>
      </c>
      <c r="C28" s="2">
        <v>1583</v>
      </c>
      <c r="D28" s="2">
        <v>2</v>
      </c>
      <c r="E28" s="2">
        <v>135</v>
      </c>
      <c r="F28" s="2">
        <v>382</v>
      </c>
      <c r="G28" s="2">
        <v>474</v>
      </c>
      <c r="H28" s="9">
        <f t="shared" si="0"/>
        <v>0.29943145925457992</v>
      </c>
      <c r="I28" s="2">
        <v>1450</v>
      </c>
      <c r="J28" s="2">
        <v>0</v>
      </c>
      <c r="K28" s="2">
        <v>1</v>
      </c>
      <c r="L28" s="2">
        <v>197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</v>
      </c>
      <c r="U28" s="2">
        <v>18</v>
      </c>
      <c r="V28" s="2">
        <v>0</v>
      </c>
      <c r="W28" s="2">
        <v>190</v>
      </c>
      <c r="X28" s="2">
        <v>22</v>
      </c>
      <c r="Y28" s="2">
        <v>7</v>
      </c>
      <c r="Z28" s="2">
        <v>12</v>
      </c>
      <c r="AA28" s="2">
        <v>15</v>
      </c>
      <c r="AB28" s="2">
        <v>0</v>
      </c>
      <c r="AC28" s="2">
        <v>0</v>
      </c>
      <c r="AD28" s="2">
        <f t="shared" si="1"/>
        <v>465</v>
      </c>
      <c r="AE28" s="2">
        <v>9</v>
      </c>
      <c r="AF28" s="9">
        <f t="shared" si="2"/>
        <v>1.8987341772151899E-2</v>
      </c>
    </row>
    <row r="29" spans="1:32" x14ac:dyDescent="0.5">
      <c r="A29" s="2">
        <v>1</v>
      </c>
      <c r="B29" s="2" t="s">
        <v>59</v>
      </c>
      <c r="C29" s="2">
        <v>1586</v>
      </c>
      <c r="D29" s="2">
        <v>8</v>
      </c>
      <c r="E29" s="2">
        <v>122</v>
      </c>
      <c r="F29" s="2">
        <v>356</v>
      </c>
      <c r="G29" s="2">
        <v>475</v>
      </c>
      <c r="H29" s="9">
        <f t="shared" si="0"/>
        <v>0.29949558638083229</v>
      </c>
      <c r="I29" s="2">
        <v>1450</v>
      </c>
      <c r="J29" s="2">
        <v>0</v>
      </c>
      <c r="K29" s="2">
        <v>3</v>
      </c>
      <c r="L29" s="2">
        <v>173</v>
      </c>
      <c r="M29" s="2">
        <v>1</v>
      </c>
      <c r="N29" s="2">
        <v>1</v>
      </c>
      <c r="O29" s="2">
        <v>0</v>
      </c>
      <c r="P29" s="2">
        <v>0</v>
      </c>
      <c r="Q29" s="2">
        <v>1</v>
      </c>
      <c r="R29" s="2">
        <v>0</v>
      </c>
      <c r="S29" s="2">
        <v>1</v>
      </c>
      <c r="T29" s="2">
        <v>1</v>
      </c>
      <c r="U29" s="2">
        <v>13</v>
      </c>
      <c r="V29" s="2">
        <v>1</v>
      </c>
      <c r="W29" s="2">
        <v>201</v>
      </c>
      <c r="X29" s="2">
        <v>18</v>
      </c>
      <c r="Y29" s="2">
        <v>15</v>
      </c>
      <c r="Z29" s="2">
        <v>12</v>
      </c>
      <c r="AA29" s="2">
        <v>22</v>
      </c>
      <c r="AB29" s="2">
        <v>0</v>
      </c>
      <c r="AC29" s="2">
        <v>1</v>
      </c>
      <c r="AD29" s="2">
        <f t="shared" si="1"/>
        <v>464</v>
      </c>
      <c r="AE29" s="2">
        <v>10</v>
      </c>
      <c r="AF29" s="9">
        <f t="shared" si="2"/>
        <v>2.1097046413502109E-2</v>
      </c>
    </row>
    <row r="30" spans="1:32" x14ac:dyDescent="0.5">
      <c r="A30" s="2">
        <v>1</v>
      </c>
      <c r="B30" s="2" t="s">
        <v>60</v>
      </c>
      <c r="C30" s="2">
        <v>1391</v>
      </c>
      <c r="D30" s="2">
        <v>5</v>
      </c>
      <c r="E30" s="2">
        <v>187</v>
      </c>
      <c r="F30" s="2">
        <v>450</v>
      </c>
      <c r="G30" s="2">
        <v>544</v>
      </c>
      <c r="H30" s="9">
        <f t="shared" si="0"/>
        <v>0.39108554996405465</v>
      </c>
      <c r="I30" s="2">
        <v>1300</v>
      </c>
      <c r="J30" s="2">
        <v>2</v>
      </c>
      <c r="K30" s="2">
        <v>3</v>
      </c>
      <c r="L30" s="2">
        <v>207</v>
      </c>
      <c r="M30" s="2">
        <v>0</v>
      </c>
      <c r="N30" s="2">
        <v>0</v>
      </c>
      <c r="O30" s="2">
        <v>0</v>
      </c>
      <c r="P30" s="2">
        <v>2</v>
      </c>
      <c r="Q30" s="2">
        <v>0</v>
      </c>
      <c r="R30" s="2">
        <v>2</v>
      </c>
      <c r="S30" s="2">
        <v>0</v>
      </c>
      <c r="T30" s="2">
        <v>0</v>
      </c>
      <c r="U30" s="2">
        <v>15</v>
      </c>
      <c r="V30" s="2">
        <v>0</v>
      </c>
      <c r="W30" s="2">
        <v>206</v>
      </c>
      <c r="X30" s="2">
        <v>39</v>
      </c>
      <c r="Y30" s="2">
        <v>21</v>
      </c>
      <c r="Z30" s="2">
        <v>16</v>
      </c>
      <c r="AA30" s="2">
        <v>20</v>
      </c>
      <c r="AB30" s="2">
        <v>1</v>
      </c>
      <c r="AC30" s="2">
        <v>0</v>
      </c>
      <c r="AD30" s="2">
        <f t="shared" si="1"/>
        <v>534</v>
      </c>
      <c r="AE30" s="2">
        <v>10</v>
      </c>
      <c r="AF30" s="9">
        <f t="shared" si="2"/>
        <v>1.8382352941176471E-2</v>
      </c>
    </row>
    <row r="31" spans="1:32" x14ac:dyDescent="0.5">
      <c r="A31" s="2">
        <v>1</v>
      </c>
      <c r="B31" s="2" t="s">
        <v>61</v>
      </c>
      <c r="C31" s="2">
        <v>1681</v>
      </c>
      <c r="D31" s="2">
        <v>0</v>
      </c>
      <c r="E31" s="2">
        <v>278</v>
      </c>
      <c r="F31" s="2">
        <v>592</v>
      </c>
      <c r="G31" s="2">
        <v>814</v>
      </c>
      <c r="H31" s="9">
        <f t="shared" si="0"/>
        <v>0.48423557406305773</v>
      </c>
      <c r="I31" s="2">
        <v>1500</v>
      </c>
      <c r="J31" s="2">
        <v>1</v>
      </c>
      <c r="K31" s="2">
        <v>2</v>
      </c>
      <c r="L31" s="2">
        <v>244</v>
      </c>
      <c r="M31" s="2">
        <v>2</v>
      </c>
      <c r="N31" s="2">
        <v>2</v>
      </c>
      <c r="O31" s="2">
        <v>0</v>
      </c>
      <c r="P31" s="2">
        <v>1</v>
      </c>
      <c r="Q31" s="2">
        <v>0</v>
      </c>
      <c r="R31" s="2">
        <v>2</v>
      </c>
      <c r="S31" s="2">
        <v>1</v>
      </c>
      <c r="T31" s="2">
        <v>0</v>
      </c>
      <c r="U31" s="2">
        <v>28</v>
      </c>
      <c r="V31" s="2">
        <v>0</v>
      </c>
      <c r="W31" s="2">
        <v>425</v>
      </c>
      <c r="X31" s="2">
        <v>51</v>
      </c>
      <c r="Y31" s="2">
        <v>11</v>
      </c>
      <c r="Z31" s="2">
        <v>18</v>
      </c>
      <c r="AA31" s="2">
        <v>5</v>
      </c>
      <c r="AB31" s="2">
        <v>0</v>
      </c>
      <c r="AC31" s="2">
        <v>1</v>
      </c>
      <c r="AD31" s="2">
        <f t="shared" si="1"/>
        <v>794</v>
      </c>
      <c r="AE31" s="2">
        <v>20</v>
      </c>
      <c r="AF31" s="9">
        <f t="shared" si="2"/>
        <v>2.4570024570024569E-2</v>
      </c>
    </row>
    <row r="32" spans="1:32" x14ac:dyDescent="0.5">
      <c r="A32" s="2">
        <v>1</v>
      </c>
      <c r="B32" s="2" t="s">
        <v>62</v>
      </c>
      <c r="C32" s="2">
        <v>1407</v>
      </c>
      <c r="D32" s="2">
        <v>2</v>
      </c>
      <c r="E32" s="2">
        <v>131</v>
      </c>
      <c r="F32" s="2">
        <v>320</v>
      </c>
      <c r="G32" s="2">
        <v>411</v>
      </c>
      <c r="H32" s="9">
        <f t="shared" si="0"/>
        <v>0.29211087420042642</v>
      </c>
      <c r="I32" s="2">
        <v>1250</v>
      </c>
      <c r="J32" s="2">
        <v>0</v>
      </c>
      <c r="K32" s="2">
        <v>6</v>
      </c>
      <c r="L32" s="2">
        <v>147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20</v>
      </c>
      <c r="V32" s="2">
        <v>0</v>
      </c>
      <c r="W32" s="2">
        <v>169</v>
      </c>
      <c r="X32" s="2">
        <v>26</v>
      </c>
      <c r="Y32" s="2">
        <v>12</v>
      </c>
      <c r="Z32" s="2">
        <v>5</v>
      </c>
      <c r="AA32" s="2">
        <v>13</v>
      </c>
      <c r="AB32" s="2">
        <v>0</v>
      </c>
      <c r="AC32" s="2">
        <v>3</v>
      </c>
      <c r="AD32" s="2">
        <f t="shared" si="1"/>
        <v>403</v>
      </c>
      <c r="AE32" s="2">
        <v>8</v>
      </c>
      <c r="AF32" s="9">
        <f t="shared" si="2"/>
        <v>1.9464720194647202E-2</v>
      </c>
    </row>
    <row r="33" spans="1:32" x14ac:dyDescent="0.5">
      <c r="A33" s="6">
        <v>1</v>
      </c>
      <c r="B33" s="6" t="s">
        <v>0</v>
      </c>
      <c r="C33" s="6">
        <f>SUM(C2:C32)</f>
        <v>43908</v>
      </c>
      <c r="D33" s="6">
        <f t="shared" ref="D33:AE33" si="3">SUM(D2:D32)</f>
        <v>136</v>
      </c>
      <c r="E33" s="6">
        <f t="shared" si="3"/>
        <v>4558</v>
      </c>
      <c r="F33" s="6">
        <f t="shared" si="3"/>
        <v>11677</v>
      </c>
      <c r="G33" s="6">
        <f t="shared" si="3"/>
        <v>15022</v>
      </c>
      <c r="H33" s="11">
        <f t="shared" si="0"/>
        <v>0.34212444201512254</v>
      </c>
      <c r="I33" s="6">
        <f t="shared" si="3"/>
        <v>39500</v>
      </c>
      <c r="J33" s="6">
        <f t="shared" si="3"/>
        <v>17</v>
      </c>
      <c r="K33" s="6">
        <f t="shared" si="3"/>
        <v>117</v>
      </c>
      <c r="L33" s="6">
        <f t="shared" si="3"/>
        <v>5422</v>
      </c>
      <c r="M33" s="6">
        <f t="shared" si="3"/>
        <v>18</v>
      </c>
      <c r="N33" s="6">
        <f t="shared" si="3"/>
        <v>11</v>
      </c>
      <c r="O33" s="6">
        <f t="shared" si="3"/>
        <v>5</v>
      </c>
      <c r="P33" s="6">
        <f t="shared" si="3"/>
        <v>13</v>
      </c>
      <c r="Q33" s="6">
        <f t="shared" si="3"/>
        <v>6</v>
      </c>
      <c r="R33" s="6">
        <f t="shared" si="3"/>
        <v>15</v>
      </c>
      <c r="S33" s="6">
        <f t="shared" si="3"/>
        <v>19</v>
      </c>
      <c r="T33" s="6">
        <f t="shared" si="3"/>
        <v>17</v>
      </c>
      <c r="U33" s="6">
        <f t="shared" si="3"/>
        <v>701</v>
      </c>
      <c r="V33" s="6">
        <f t="shared" si="3"/>
        <v>9</v>
      </c>
      <c r="W33" s="6">
        <f t="shared" si="3"/>
        <v>6036</v>
      </c>
      <c r="X33" s="6">
        <f t="shared" si="3"/>
        <v>964</v>
      </c>
      <c r="Y33" s="6">
        <f t="shared" si="3"/>
        <v>428</v>
      </c>
      <c r="Z33" s="6">
        <f t="shared" si="3"/>
        <v>388</v>
      </c>
      <c r="AA33" s="6">
        <f t="shared" si="3"/>
        <v>462</v>
      </c>
      <c r="AB33" s="6">
        <f t="shared" si="3"/>
        <v>26</v>
      </c>
      <c r="AC33" s="6">
        <f t="shared" si="3"/>
        <v>45</v>
      </c>
      <c r="AD33" s="6">
        <f t="shared" si="3"/>
        <v>14719</v>
      </c>
      <c r="AE33" s="6">
        <f t="shared" si="3"/>
        <v>297</v>
      </c>
      <c r="AF33" s="11">
        <f t="shared" si="2"/>
        <v>1.9778902503995738E-2</v>
      </c>
    </row>
    <row r="34" spans="1:32" x14ac:dyDescent="0.5">
      <c r="H34" s="10"/>
      <c r="J34" s="12">
        <f>J33/$AD$33</f>
        <v>1.1549697669678647E-3</v>
      </c>
      <c r="K34" s="12">
        <f t="shared" ref="K34:AC34" si="4">K33/$AD$33</f>
        <v>7.9489095726611864E-3</v>
      </c>
      <c r="L34" s="12">
        <f t="shared" si="4"/>
        <v>0.36836741626469188</v>
      </c>
      <c r="M34" s="12">
        <f t="shared" si="4"/>
        <v>1.222909165024798E-3</v>
      </c>
      <c r="N34" s="12">
        <f t="shared" si="4"/>
        <v>7.4733337862626541E-4</v>
      </c>
      <c r="O34" s="12">
        <f t="shared" si="4"/>
        <v>3.3969699028466607E-4</v>
      </c>
      <c r="P34" s="12">
        <f t="shared" si="4"/>
        <v>8.8321217474013184E-4</v>
      </c>
      <c r="Q34" s="12">
        <f t="shared" si="4"/>
        <v>4.0763638834159929E-4</v>
      </c>
      <c r="R34" s="12">
        <f t="shared" si="4"/>
        <v>1.0190909708539982E-3</v>
      </c>
      <c r="S34" s="12">
        <f t="shared" si="4"/>
        <v>1.290848563081731E-3</v>
      </c>
      <c r="T34" s="12">
        <f t="shared" si="4"/>
        <v>1.1549697669678647E-3</v>
      </c>
      <c r="U34" s="12">
        <f t="shared" si="4"/>
        <v>4.7625518037910188E-2</v>
      </c>
      <c r="V34" s="12">
        <f t="shared" si="4"/>
        <v>6.1145458251239898E-4</v>
      </c>
      <c r="W34" s="12">
        <f t="shared" si="4"/>
        <v>0.41008220667164891</v>
      </c>
      <c r="X34" s="12">
        <f t="shared" si="4"/>
        <v>6.5493579726883619E-2</v>
      </c>
      <c r="Y34" s="12">
        <f t="shared" si="4"/>
        <v>2.9078062368367415E-2</v>
      </c>
      <c r="Z34" s="12">
        <f t="shared" si="4"/>
        <v>2.6360486446090087E-2</v>
      </c>
      <c r="AA34" s="12">
        <f t="shared" si="4"/>
        <v>3.1388001902303148E-2</v>
      </c>
      <c r="AB34" s="12">
        <f t="shared" si="4"/>
        <v>1.7664243494802637E-3</v>
      </c>
      <c r="AC34" s="12">
        <f t="shared" si="4"/>
        <v>3.0572729125619945E-3</v>
      </c>
      <c r="AD34" s="8"/>
      <c r="AF3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პარლამენტი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2026-04-26T19:28:30Z</dcterms:modified>
</cp:coreProperties>
</file>