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7501A61E-85E1-401E-B780-0D6D406A2B8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maJoritaeuli" sheetId="3" r:id="rId1"/>
  </sheets>
  <definedNames>
    <definedName name="_xlnm.Print_Titles" localSheetId="0">maJoritaeuli!$C:$C,maJoritaeuli!$1:$1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2" i="3"/>
  <c r="Q3" i="3"/>
  <c r="P3" i="3" s="1"/>
  <c r="Q4" i="3"/>
  <c r="P4" i="3" s="1"/>
  <c r="Q2" i="3"/>
  <c r="P2" i="3" s="1"/>
  <c r="N4" i="3" l="1"/>
  <c r="N3" i="3"/>
  <c r="L4" i="3"/>
  <c r="L3" i="3"/>
  <c r="L2" i="3"/>
  <c r="N2" i="3"/>
  <c r="S3" i="3"/>
  <c r="S4" i="3"/>
  <c r="S2" i="3"/>
  <c r="M5" i="3" l="1"/>
  <c r="E5" i="3" l="1"/>
  <c r="F5" i="3"/>
  <c r="G5" i="3"/>
  <c r="H5" i="3"/>
  <c r="J5" i="3"/>
  <c r="K5" i="3"/>
  <c r="O5" i="3"/>
  <c r="R5" i="3"/>
  <c r="D5" i="3"/>
  <c r="I5" i="3" l="1"/>
  <c r="S5" i="3"/>
  <c r="Q5" i="3"/>
  <c r="N5" i="3" s="1"/>
  <c r="L5" i="3" l="1"/>
  <c r="P5" i="3"/>
</calcChain>
</file>

<file path=xl/sharedStrings.xml><?xml version="1.0" encoding="utf-8"?>
<sst xmlns="http://schemas.openxmlformats.org/spreadsheetml/2006/main" count="26" uniqueCount="20">
  <si>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</si>
  <si>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</si>
  <si>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</si>
  <si>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</si>
  <si>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</si>
  <si>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</si>
  <si>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</si>
  <si>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ნამდვილი ბიულეტენები</t>
  </si>
  <si>
    <t xml:space="preserve">მიღებული ბიულეტენები </t>
  </si>
  <si>
    <t>2 გოდერძი კუკავა</t>
  </si>
  <si>
    <t>32 ბაჩუკი ნარუშვილი</t>
  </si>
  <si>
    <t>41 თენგიზ ალმასია</t>
  </si>
  <si>
    <t>%</t>
  </si>
  <si>
    <t>67 ზუგდიდი</t>
  </si>
  <si>
    <t>სულ</t>
  </si>
  <si>
    <t>64.67.73</t>
  </si>
  <si>
    <t>64.67.74</t>
  </si>
  <si>
    <t>64.67.103</t>
  </si>
  <si>
    <t>electoral_district</t>
  </si>
  <si>
    <t>sakrebulo_majoritarian_district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</si>
</sst>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3" fontId="3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3" fontId="4" fillId="0" borderId="1" xfId="0" applyNumberFormat="1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3" fontId="3" fillId="0" borderId="1" xfId="0" applyNumberFormat="1" applyFont="1" applyBorder="1"/>
    <xf numFmtId="3" fontId="4" fillId="0" borderId="1" xfId="0" applyNumberFormat="1" applyFont="1" applyBorder="1"/>
    <xf numFmtId="0" fontId="3" fillId="0" borderId="0" xfId="0" applyFont="1"/>
    <xf numFmtId="3" fontId="4" fillId="0" borderId="0" xfId="0" applyNumberFormat="1" applyFont="1" applyProtection="1">
      <protection locked="0"/>
    </xf>
    <xf numFmtId="10" fontId="3" fillId="0" borderId="1" xfId="1" applyNumberFormat="1" applyFont="1" applyBorder="1" applyProtection="1">
      <protection locked="0"/>
    </xf>
    <xf numFmtId="10" fontId="4" fillId="0" borderId="1" xfId="1" applyNumberFormat="1" applyFont="1" applyBorder="1" applyProtection="1"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3" borderId="2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07421875" defaultRowHeight="15.9" x14ac:dyDescent="0.5"/>
  <cols>
    <col min="1" max="1" width="14.69140625" style="1" customWidth="1"/>
    <col min="2" max="2" width="9.07421875" style="1"/>
    <col min="3" max="3" width="9" style="7" bestFit="1" customWidth="1"/>
    <col min="4" max="4" width="16.53515625" style="10" customWidth="1"/>
    <col min="5" max="5" width="18.4609375" style="1" customWidth="1"/>
    <col min="6" max="6" width="9.69140625" style="1" customWidth="1"/>
    <col min="7" max="7" width="9.84375" style="1" customWidth="1"/>
    <col min="8" max="8" width="10.3046875" style="1" bestFit="1" customWidth="1"/>
    <col min="9" max="9" width="10.3046875" style="1" customWidth="1"/>
    <col min="10" max="10" width="13.69140625" style="1" customWidth="1"/>
    <col min="11" max="11" width="15.4609375" style="1" customWidth="1"/>
    <col min="12" max="12" width="9.07421875" style="1" bestFit="1" customWidth="1"/>
    <col min="13" max="13" width="14.4609375" style="1" customWidth="1"/>
    <col min="14" max="14" width="7.84375" style="1" bestFit="1" customWidth="1"/>
    <col min="15" max="15" width="14.84375" style="1" customWidth="1"/>
    <col min="16" max="16" width="9.07421875" style="1" bestFit="1" customWidth="1"/>
    <col min="17" max="18" width="13.53515625" style="1" customWidth="1"/>
    <col min="19" max="19" width="9.69140625" style="1" customWidth="1"/>
    <col min="20" max="16384" width="9.07421875" style="1"/>
  </cols>
  <sheetData>
    <row r="1" spans="1:19" ht="30" customHeight="1" x14ac:dyDescent="0.5">
      <c r="A1" s="18" t="s">
        <v>18</v>
      </c>
      <c r="B1" s="18" t="s">
        <v>19</v>
      </c>
      <c r="C1" s="18" t="s">
        <v>0</v>
      </c>
      <c r="D1" s="20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9" t="s">
        <v>12</v>
      </c>
      <c r="J1" s="18" t="s">
        <v>8</v>
      </c>
      <c r="K1" s="14" t="s">
        <v>9</v>
      </c>
      <c r="L1" s="15" t="s">
        <v>12</v>
      </c>
      <c r="M1" s="14" t="s">
        <v>10</v>
      </c>
      <c r="N1" s="15" t="s">
        <v>12</v>
      </c>
      <c r="O1" s="14" t="s">
        <v>11</v>
      </c>
      <c r="P1" s="15" t="s">
        <v>12</v>
      </c>
      <c r="Q1" s="18" t="s">
        <v>7</v>
      </c>
      <c r="R1" s="18" t="s">
        <v>6</v>
      </c>
      <c r="S1" s="19" t="s">
        <v>12</v>
      </c>
    </row>
    <row r="2" spans="1:19" x14ac:dyDescent="0.5">
      <c r="A2" s="16" t="s">
        <v>13</v>
      </c>
      <c r="B2" s="16">
        <v>27</v>
      </c>
      <c r="C2" s="3" t="s">
        <v>15</v>
      </c>
      <c r="D2" s="8">
        <v>974</v>
      </c>
      <c r="E2" s="4">
        <v>3</v>
      </c>
      <c r="F2" s="4">
        <v>153</v>
      </c>
      <c r="G2" s="4">
        <v>323</v>
      </c>
      <c r="H2" s="4">
        <v>410</v>
      </c>
      <c r="I2" s="12">
        <f>H2/D2</f>
        <v>0.4209445585215606</v>
      </c>
      <c r="J2" s="4">
        <v>1000</v>
      </c>
      <c r="K2" s="4">
        <v>122</v>
      </c>
      <c r="L2" s="12">
        <f>K2/Q2</f>
        <v>0.3012345679012346</v>
      </c>
      <c r="M2" s="4">
        <v>5</v>
      </c>
      <c r="N2" s="12">
        <f>M2/Q2</f>
        <v>1.2345679012345678E-2</v>
      </c>
      <c r="O2" s="4">
        <v>278</v>
      </c>
      <c r="P2" s="12">
        <f>O2/Q2</f>
        <v>0.68641975308641978</v>
      </c>
      <c r="Q2" s="4">
        <f>K2+M2+O2</f>
        <v>405</v>
      </c>
      <c r="R2" s="4">
        <v>5</v>
      </c>
      <c r="S2" s="12">
        <f>R2/H2</f>
        <v>1.2195121951219513E-2</v>
      </c>
    </row>
    <row r="3" spans="1:19" x14ac:dyDescent="0.5">
      <c r="A3" s="16" t="s">
        <v>13</v>
      </c>
      <c r="B3" s="16">
        <v>27</v>
      </c>
      <c r="C3" s="3" t="s">
        <v>16</v>
      </c>
      <c r="D3" s="8">
        <v>830</v>
      </c>
      <c r="E3" s="4">
        <v>0</v>
      </c>
      <c r="F3" s="4">
        <v>182</v>
      </c>
      <c r="G3" s="4">
        <v>385</v>
      </c>
      <c r="H3" s="4">
        <v>470</v>
      </c>
      <c r="I3" s="12">
        <f t="shared" ref="I3:I5" si="0">H3/D3</f>
        <v>0.5662650602409639</v>
      </c>
      <c r="J3" s="4">
        <v>850</v>
      </c>
      <c r="K3" s="4">
        <v>198</v>
      </c>
      <c r="L3" s="12">
        <f t="shared" ref="L3:L5" si="1">K3/Q3</f>
        <v>0.4258064516129032</v>
      </c>
      <c r="M3" s="4">
        <v>11</v>
      </c>
      <c r="N3" s="12">
        <f t="shared" ref="N3:N5" si="2">M3/Q3</f>
        <v>2.3655913978494623E-2</v>
      </c>
      <c r="O3" s="4">
        <v>256</v>
      </c>
      <c r="P3" s="12">
        <f t="shared" ref="P3:P5" si="3">O3/Q3</f>
        <v>0.55053763440860215</v>
      </c>
      <c r="Q3" s="4">
        <f t="shared" ref="Q3:Q4" si="4">K3+M3+O3</f>
        <v>465</v>
      </c>
      <c r="R3" s="4">
        <v>5</v>
      </c>
      <c r="S3" s="12">
        <f>R3/H3</f>
        <v>1.0638297872340425E-2</v>
      </c>
    </row>
    <row r="4" spans="1:19" x14ac:dyDescent="0.5">
      <c r="A4" s="16" t="s">
        <v>13</v>
      </c>
      <c r="B4" s="16">
        <v>27</v>
      </c>
      <c r="C4" s="3" t="s">
        <v>17</v>
      </c>
      <c r="D4" s="8">
        <v>1015</v>
      </c>
      <c r="E4" s="4">
        <v>3</v>
      </c>
      <c r="F4" s="4">
        <v>153</v>
      </c>
      <c r="G4" s="4">
        <v>357</v>
      </c>
      <c r="H4" s="4">
        <v>457</v>
      </c>
      <c r="I4" s="12">
        <f t="shared" si="0"/>
        <v>0.45024630541871924</v>
      </c>
      <c r="J4" s="4">
        <v>1050</v>
      </c>
      <c r="K4" s="4">
        <v>122</v>
      </c>
      <c r="L4" s="12">
        <f t="shared" si="1"/>
        <v>0.27171492204899778</v>
      </c>
      <c r="M4" s="4">
        <v>21</v>
      </c>
      <c r="N4" s="12">
        <f t="shared" si="2"/>
        <v>4.6770601336302897E-2</v>
      </c>
      <c r="O4" s="4">
        <v>306</v>
      </c>
      <c r="P4" s="12">
        <f t="shared" si="3"/>
        <v>0.68151447661469933</v>
      </c>
      <c r="Q4" s="4">
        <f t="shared" si="4"/>
        <v>449</v>
      </c>
      <c r="R4" s="4">
        <v>8</v>
      </c>
      <c r="S4" s="12">
        <f>R4/H4</f>
        <v>1.7505470459518599E-2</v>
      </c>
    </row>
    <row r="5" spans="1:19" s="2" customFormat="1" x14ac:dyDescent="0.5">
      <c r="A5" s="17" t="s">
        <v>14</v>
      </c>
      <c r="B5" s="17"/>
      <c r="C5" s="5"/>
      <c r="D5" s="9">
        <f t="shared" ref="D5:R5" si="5">SUM(D2:D4)</f>
        <v>2819</v>
      </c>
      <c r="E5" s="6">
        <f t="shared" si="5"/>
        <v>6</v>
      </c>
      <c r="F5" s="6">
        <f t="shared" si="5"/>
        <v>488</v>
      </c>
      <c r="G5" s="6">
        <f t="shared" si="5"/>
        <v>1065</v>
      </c>
      <c r="H5" s="6">
        <f t="shared" si="5"/>
        <v>1337</v>
      </c>
      <c r="I5" s="13">
        <f t="shared" si="0"/>
        <v>0.47428166016317841</v>
      </c>
      <c r="J5" s="6">
        <f t="shared" si="5"/>
        <v>2900</v>
      </c>
      <c r="K5" s="6">
        <f t="shared" si="5"/>
        <v>442</v>
      </c>
      <c r="L5" s="13">
        <f t="shared" si="1"/>
        <v>0.33510235026535257</v>
      </c>
      <c r="M5" s="6">
        <f t="shared" si="5"/>
        <v>37</v>
      </c>
      <c r="N5" s="13">
        <f t="shared" si="2"/>
        <v>2.8051554207733132E-2</v>
      </c>
      <c r="O5" s="6">
        <f t="shared" si="5"/>
        <v>840</v>
      </c>
      <c r="P5" s="13">
        <f t="shared" si="3"/>
        <v>0.63684609552691429</v>
      </c>
      <c r="Q5" s="6">
        <f t="shared" si="5"/>
        <v>1319</v>
      </c>
      <c r="R5" s="6">
        <f t="shared" si="5"/>
        <v>18</v>
      </c>
      <c r="S5" s="13">
        <f>R5/H5</f>
        <v>1.3462976813762155E-2</v>
      </c>
    </row>
    <row r="6" spans="1:19" x14ac:dyDescent="0.5">
      <c r="O6" s="11"/>
      <c r="P6" s="11"/>
    </row>
  </sheetData>
  <sheetProtection insertColumns="0" insertRows="0" deleteColumns="0" deleteRows="0"/>
  <conditionalFormatting sqref="G2:H4">
    <cfRule type="expression" dxfId="2" priority="5">
      <formula>G2&lt;F2</formula>
    </cfRule>
  </conditionalFormatting>
  <conditionalFormatting sqref="I2:I5">
    <cfRule type="expression" dxfId="1" priority="1">
      <formula>I2&lt;0</formula>
    </cfRule>
  </conditionalFormatting>
  <conditionalFormatting sqref="S2:S5">
    <cfRule type="expression" dxfId="0" priority="6">
      <formula>S2&lt;0</formula>
    </cfRule>
  </conditionalFormatting>
  <pageMargins left="0.2" right="0.2" top="0.5" bottom="0.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maJoritaeuli</vt:lpstr>
      <vt:lpstr>maJoritaeuli!Print_Titles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2017-10-15T13:03:23Z</cp:lastPrinted>
  <dcterms:created xsi:type="dcterms:W3CDTF">2014-07-31T10:11:31Z</dcterms:created>
  <dcterms:modified xsi:type="dcterms:W3CDTF">2026-04-27T11:24:45Z</dcterms:modified>
</cp:coreProperties>
</file>