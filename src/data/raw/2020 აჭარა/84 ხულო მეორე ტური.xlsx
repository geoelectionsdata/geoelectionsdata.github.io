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6059727D-C2E8-4CAE-8F40-53B94DCB8E5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მაჟორიტარული" sheetId="7" r:id="rId1"/>
  </sheets>
  <definedNames>
    <definedName name="_xlnm.Print_Titles" localSheetId="0">მაჟორიტარული!$A:$C,მაჟორიტარული!$1:$1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7" l="1"/>
  <c r="L54" i="7" l="1"/>
  <c r="C57" i="7" l="1"/>
  <c r="L51" i="7"/>
  <c r="L53" i="7"/>
  <c r="L52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56" i="7" l="1"/>
  <c r="L55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H57" i="7"/>
  <c r="G57" i="7"/>
  <c r="F57" i="7"/>
  <c r="E57" i="7" l="1"/>
  <c r="M57" i="7"/>
  <c r="K57" i="7" l="1"/>
  <c r="L57" i="7"/>
  <c r="J57" i="7"/>
  <c r="J58" i="7" l="1"/>
  <c r="K58" i="7"/>
  <c r="L58" i="7" l="1"/>
</calcChain>
</file>

<file path=xl/sharedStrings.xml><?xml version="1.0" encoding="utf-8"?>
<sst xmlns="http://schemas.openxmlformats.org/spreadsheetml/2006/main" count="180" uniqueCount="72">
  <si>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</si>
  <si>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</si>
  <si>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</si>
  <si>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</si>
  <si>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</si>
  <si>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</si>
  <si>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</si>
  <si>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</si>
  <si>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</si>
  <si>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>%</t>
  </si>
  <si>
    <t xml:space="preserve">მიღებული ბიულეტენები </t>
  </si>
  <si>
    <t>ოლქი</t>
  </si>
  <si>
    <t>84-ხულო</t>
  </si>
  <si>
    <t>მაჟორიტარული ოლქი</t>
  </si>
  <si>
    <t>30</t>
  </si>
  <si>
    <t xml:space="preserve">30.84.01 </t>
  </si>
  <si>
    <t xml:space="preserve">30.84.02 </t>
  </si>
  <si>
    <t xml:space="preserve">30.84.03 </t>
  </si>
  <si>
    <t xml:space="preserve">30.84.04 </t>
  </si>
  <si>
    <t xml:space="preserve">30.84.05 </t>
  </si>
  <si>
    <t xml:space="preserve">30.84.06 </t>
  </si>
  <si>
    <t xml:space="preserve">30.84.07 </t>
  </si>
  <si>
    <t xml:space="preserve">30.84.08 </t>
  </si>
  <si>
    <t xml:space="preserve">30.84.09 </t>
  </si>
  <si>
    <t xml:space="preserve">30.84.10 </t>
  </si>
  <si>
    <t xml:space="preserve">30.84.11 </t>
  </si>
  <si>
    <t xml:space="preserve">30.84.12 </t>
  </si>
  <si>
    <t xml:space="preserve">30.84.13 </t>
  </si>
  <si>
    <t xml:space="preserve">30.84.14 </t>
  </si>
  <si>
    <t xml:space="preserve">30.84.15 </t>
  </si>
  <si>
    <t xml:space="preserve">30.84.16 </t>
  </si>
  <si>
    <t xml:space="preserve">30.84.17 </t>
  </si>
  <si>
    <t xml:space="preserve">30.84.18 </t>
  </si>
  <si>
    <t xml:space="preserve">30.84.19 </t>
  </si>
  <si>
    <t xml:space="preserve">30.84.20 </t>
  </si>
  <si>
    <t xml:space="preserve">30.84.21 </t>
  </si>
  <si>
    <t xml:space="preserve">30.84.22 </t>
  </si>
  <si>
    <t xml:space="preserve">30.84.23 </t>
  </si>
  <si>
    <t xml:space="preserve">30.84.24 </t>
  </si>
  <si>
    <t xml:space="preserve">30.84.25 </t>
  </si>
  <si>
    <t xml:space="preserve">30.84.26 </t>
  </si>
  <si>
    <t xml:space="preserve">30.84.27 </t>
  </si>
  <si>
    <t xml:space="preserve">30.84.28 </t>
  </si>
  <si>
    <t xml:space="preserve">30.84.29 </t>
  </si>
  <si>
    <t xml:space="preserve">30.84.30 </t>
  </si>
  <si>
    <t xml:space="preserve">30.84.31 </t>
  </si>
  <si>
    <t xml:space="preserve">30.84.32 </t>
  </si>
  <si>
    <t xml:space="preserve">30.84.33 </t>
  </si>
  <si>
    <t xml:space="preserve">30.84.34 </t>
  </si>
  <si>
    <t xml:space="preserve">30.84.35 </t>
  </si>
  <si>
    <t xml:space="preserve">30.84.36 </t>
  </si>
  <si>
    <t xml:space="preserve">30.84.37 </t>
  </si>
  <si>
    <t xml:space="preserve">30.84.38 </t>
  </si>
  <si>
    <t xml:space="preserve">30.84.39 </t>
  </si>
  <si>
    <t xml:space="preserve">30.84.40 </t>
  </si>
  <si>
    <t xml:space="preserve">30.84.41 </t>
  </si>
  <si>
    <t xml:space="preserve">30.84.42 </t>
  </si>
  <si>
    <t xml:space="preserve">30.84.43 </t>
  </si>
  <si>
    <t xml:space="preserve">30.84.44 </t>
  </si>
  <si>
    <t xml:space="preserve">30.84.45 </t>
  </si>
  <si>
    <t xml:space="preserve">30.84.46 </t>
  </si>
  <si>
    <t xml:space="preserve">30.84.47 </t>
  </si>
  <si>
    <t xml:space="preserve">30.84.48 </t>
  </si>
  <si>
    <t xml:space="preserve">30.84.49 </t>
  </si>
  <si>
    <t xml:space="preserve">30.84.50 </t>
  </si>
  <si>
    <t xml:space="preserve">30.84.51 </t>
  </si>
  <si>
    <t xml:space="preserve">30.84.52 </t>
  </si>
  <si>
    <t>30.84.53</t>
  </si>
  <si>
    <t>30.84.54</t>
  </si>
  <si>
    <t>30.84.55</t>
  </si>
  <si>
    <t>vote_5</t>
  </si>
  <si>
    <t>vote_41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</si>
</sst>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Sylfaen"/>
      <family val="2"/>
      <scheme val="minor"/>
    </font>
    <font>
      <b/>
      <sz val="10"/>
      <color theme="1"/>
      <name val="Script MT Bold"/>
      <family val="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3" fontId="3" fillId="0" borderId="1" xfId="0" applyNumberFormat="1" applyFont="1" applyBorder="1" applyProtection="1"/>
    <xf numFmtId="3" fontId="3" fillId="0" borderId="1" xfId="0" applyNumberFormat="1" applyFont="1" applyBorder="1" applyProtection="1">
      <protection locked="0"/>
    </xf>
    <xf numFmtId="0" fontId="4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3" fontId="2" fillId="0" borderId="1" xfId="0" applyNumberFormat="1" applyFont="1" applyBorder="1" applyProtection="1"/>
    <xf numFmtId="3" fontId="2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/>
    <xf numFmtId="10" fontId="2" fillId="0" borderId="0" xfId="1" applyNumberFormat="1" applyFont="1" applyProtection="1">
      <protection locked="0"/>
    </xf>
    <xf numFmtId="9" fontId="2" fillId="0" borderId="0" xfId="1" applyFont="1" applyProtection="1"/>
    <xf numFmtId="10" fontId="5" fillId="0" borderId="0" xfId="1" applyNumberFormat="1" applyFont="1" applyProtection="1">
      <protection locked="0"/>
    </xf>
    <xf numFmtId="0" fontId="3" fillId="0" borderId="0" xfId="0" applyFont="1" applyAlignment="1" applyProtection="1"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vertical="center"/>
    </xf>
  </cellXfs>
  <cellStyles count="2">
    <cellStyle name="პროცენტი" xfId="1" builtinId="5"/>
    <cellStyle name="ჩვეულებრივი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pane ySplit="1" topLeftCell="A2" activePane="bottomLeft" state="frozen"/>
      <selection pane="bottomLeft" activeCell="J2" sqref="J2"/>
    </sheetView>
  </sheetViews>
  <sheetFormatPr defaultColWidth="9.109375" defaultRowHeight="13.8" x14ac:dyDescent="0.3"/>
  <cols>
    <col min="1" max="1" width="8.109375" style="1" customWidth="1"/>
    <col min="2" max="2" width="8.33203125" style="11" customWidth="1"/>
    <col min="3" max="3" width="10.6640625" style="11" customWidth="1"/>
    <col min="4" max="4" width="7.21875" style="12" customWidth="1"/>
    <col min="5" max="5" width="6.6640625" style="1" customWidth="1"/>
    <col min="6" max="6" width="6.77734375" style="1" customWidth="1"/>
    <col min="7" max="7" width="7.33203125" style="1" customWidth="1"/>
    <col min="8" max="8" width="6.88671875" style="1" customWidth="1"/>
    <col min="9" max="9" width="8" style="1" customWidth="1"/>
    <col min="10" max="10" width="5.33203125" style="1" customWidth="1"/>
    <col min="11" max="11" width="9.77734375" style="1" bestFit="1" customWidth="1"/>
    <col min="12" max="12" width="6.88671875" style="12" customWidth="1"/>
    <col min="13" max="13" width="5.77734375" style="1" customWidth="1"/>
    <col min="14" max="16384" width="9.109375" style="1"/>
  </cols>
  <sheetData>
    <row r="1" spans="1:13" s="16" customFormat="1" ht="30" customHeight="1" x14ac:dyDescent="0.3">
      <c r="A1" s="18" t="s">
        <v>13</v>
      </c>
      <c r="B1" s="18" t="s">
        <v>11</v>
      </c>
      <c r="C1" s="18" t="s">
        <v>0</v>
      </c>
      <c r="D1" s="19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10</v>
      </c>
      <c r="J1" s="17" t="s">
        <v>70</v>
      </c>
      <c r="K1" s="17" t="s">
        <v>71</v>
      </c>
      <c r="L1" s="20" t="s">
        <v>8</v>
      </c>
      <c r="M1" s="18" t="s">
        <v>6</v>
      </c>
    </row>
    <row r="2" spans="1:13" x14ac:dyDescent="0.3">
      <c r="A2" s="3" t="s">
        <v>14</v>
      </c>
      <c r="B2" s="4" t="s">
        <v>12</v>
      </c>
      <c r="C2" s="4" t="s">
        <v>15</v>
      </c>
      <c r="D2" s="5">
        <v>925</v>
      </c>
      <c r="E2" s="5">
        <v>5</v>
      </c>
      <c r="F2" s="6">
        <v>110</v>
      </c>
      <c r="G2" s="6">
        <v>320</v>
      </c>
      <c r="H2" s="7">
        <v>413</v>
      </c>
      <c r="I2" s="6">
        <v>850</v>
      </c>
      <c r="J2" s="6">
        <v>46</v>
      </c>
      <c r="K2" s="6">
        <v>342</v>
      </c>
      <c r="L2" s="5">
        <f t="shared" ref="L2:L37" si="0">SUM(J2:K2)</f>
        <v>388</v>
      </c>
      <c r="M2" s="6">
        <v>24</v>
      </c>
    </row>
    <row r="3" spans="1:13" x14ac:dyDescent="0.3">
      <c r="A3" s="3" t="s">
        <v>14</v>
      </c>
      <c r="B3" s="4" t="s">
        <v>12</v>
      </c>
      <c r="C3" s="4" t="s">
        <v>16</v>
      </c>
      <c r="D3" s="5">
        <v>498</v>
      </c>
      <c r="E3" s="5">
        <v>0</v>
      </c>
      <c r="F3" s="6">
        <v>48</v>
      </c>
      <c r="G3" s="6">
        <v>205</v>
      </c>
      <c r="H3" s="7">
        <v>232</v>
      </c>
      <c r="I3" s="6">
        <v>500</v>
      </c>
      <c r="J3" s="6">
        <v>17</v>
      </c>
      <c r="K3" s="6">
        <v>204</v>
      </c>
      <c r="L3" s="5">
        <f t="shared" si="0"/>
        <v>221</v>
      </c>
      <c r="M3" s="6">
        <v>11</v>
      </c>
    </row>
    <row r="4" spans="1:13" x14ac:dyDescent="0.3">
      <c r="A4" s="3" t="s">
        <v>14</v>
      </c>
      <c r="B4" s="4" t="s">
        <v>12</v>
      </c>
      <c r="C4" s="4" t="s">
        <v>17</v>
      </c>
      <c r="D4" s="5">
        <v>370</v>
      </c>
      <c r="E4" s="5">
        <v>0</v>
      </c>
      <c r="F4" s="6">
        <v>27</v>
      </c>
      <c r="G4" s="6">
        <v>92</v>
      </c>
      <c r="H4" s="7">
        <v>148</v>
      </c>
      <c r="I4" s="6">
        <v>400</v>
      </c>
      <c r="J4" s="6">
        <v>18</v>
      </c>
      <c r="K4" s="6">
        <v>124</v>
      </c>
      <c r="L4" s="5">
        <f t="shared" si="0"/>
        <v>142</v>
      </c>
      <c r="M4" s="6">
        <v>6</v>
      </c>
    </row>
    <row r="5" spans="1:13" x14ac:dyDescent="0.3">
      <c r="A5" s="3" t="s">
        <v>14</v>
      </c>
      <c r="B5" s="4" t="s">
        <v>12</v>
      </c>
      <c r="C5" s="4" t="s">
        <v>18</v>
      </c>
      <c r="D5" s="5">
        <v>900</v>
      </c>
      <c r="E5" s="5">
        <v>1</v>
      </c>
      <c r="F5" s="6">
        <v>99</v>
      </c>
      <c r="G5" s="6">
        <v>296</v>
      </c>
      <c r="H5" s="7">
        <v>372</v>
      </c>
      <c r="I5" s="6">
        <v>850</v>
      </c>
      <c r="J5" s="6">
        <v>46</v>
      </c>
      <c r="K5" s="6">
        <v>301</v>
      </c>
      <c r="L5" s="5">
        <f t="shared" si="0"/>
        <v>347</v>
      </c>
      <c r="M5" s="6">
        <v>25</v>
      </c>
    </row>
    <row r="6" spans="1:13" x14ac:dyDescent="0.3">
      <c r="A6" s="3" t="s">
        <v>14</v>
      </c>
      <c r="B6" s="4" t="s">
        <v>12</v>
      </c>
      <c r="C6" s="4" t="s">
        <v>19</v>
      </c>
      <c r="D6" s="5">
        <v>554</v>
      </c>
      <c r="E6" s="5">
        <v>2</v>
      </c>
      <c r="F6" s="6">
        <v>43</v>
      </c>
      <c r="G6" s="6">
        <v>222</v>
      </c>
      <c r="H6" s="7">
        <v>276</v>
      </c>
      <c r="I6" s="6">
        <v>550</v>
      </c>
      <c r="J6" s="6">
        <v>30</v>
      </c>
      <c r="K6" s="6">
        <v>232</v>
      </c>
      <c r="L6" s="5">
        <f t="shared" si="0"/>
        <v>262</v>
      </c>
      <c r="M6" s="6">
        <v>14</v>
      </c>
    </row>
    <row r="7" spans="1:13" x14ac:dyDescent="0.3">
      <c r="A7" s="3" t="s">
        <v>14</v>
      </c>
      <c r="B7" s="4" t="s">
        <v>12</v>
      </c>
      <c r="C7" s="4" t="s">
        <v>20</v>
      </c>
      <c r="D7" s="5">
        <v>384</v>
      </c>
      <c r="E7" s="5">
        <v>0</v>
      </c>
      <c r="F7" s="6">
        <v>38</v>
      </c>
      <c r="G7" s="6">
        <v>133</v>
      </c>
      <c r="H7" s="7">
        <v>151</v>
      </c>
      <c r="I7" s="6">
        <v>400</v>
      </c>
      <c r="J7" s="6">
        <v>23</v>
      </c>
      <c r="K7" s="6">
        <v>114</v>
      </c>
      <c r="L7" s="5">
        <f t="shared" si="0"/>
        <v>137</v>
      </c>
      <c r="M7" s="6">
        <v>14</v>
      </c>
    </row>
    <row r="8" spans="1:13" x14ac:dyDescent="0.3">
      <c r="A8" s="3" t="s">
        <v>14</v>
      </c>
      <c r="B8" s="4" t="s">
        <v>12</v>
      </c>
      <c r="C8" s="4" t="s">
        <v>21</v>
      </c>
      <c r="D8" s="5">
        <v>615</v>
      </c>
      <c r="E8" s="5">
        <v>0</v>
      </c>
      <c r="F8" s="6">
        <v>47</v>
      </c>
      <c r="G8" s="6">
        <v>167</v>
      </c>
      <c r="H8" s="7">
        <v>227</v>
      </c>
      <c r="I8" s="6">
        <v>600</v>
      </c>
      <c r="J8" s="6">
        <v>58</v>
      </c>
      <c r="K8" s="6">
        <v>156</v>
      </c>
      <c r="L8" s="5">
        <f t="shared" si="0"/>
        <v>214</v>
      </c>
      <c r="M8" s="6">
        <v>13</v>
      </c>
    </row>
    <row r="9" spans="1:13" x14ac:dyDescent="0.3">
      <c r="A9" s="3" t="s">
        <v>14</v>
      </c>
      <c r="B9" s="4" t="s">
        <v>12</v>
      </c>
      <c r="C9" s="4" t="s">
        <v>22</v>
      </c>
      <c r="D9" s="5">
        <v>459</v>
      </c>
      <c r="E9" s="5">
        <v>0</v>
      </c>
      <c r="F9" s="6">
        <v>52</v>
      </c>
      <c r="G9" s="6">
        <v>161</v>
      </c>
      <c r="H9" s="7">
        <v>189</v>
      </c>
      <c r="I9" s="6">
        <v>500</v>
      </c>
      <c r="J9" s="6">
        <v>30</v>
      </c>
      <c r="K9" s="6">
        <v>143</v>
      </c>
      <c r="L9" s="5">
        <f t="shared" si="0"/>
        <v>173</v>
      </c>
      <c r="M9" s="6">
        <v>16</v>
      </c>
    </row>
    <row r="10" spans="1:13" x14ac:dyDescent="0.3">
      <c r="A10" s="3" t="s">
        <v>14</v>
      </c>
      <c r="B10" s="4" t="s">
        <v>12</v>
      </c>
      <c r="C10" s="4" t="s">
        <v>23</v>
      </c>
      <c r="D10" s="5">
        <v>697</v>
      </c>
      <c r="E10" s="5">
        <v>1</v>
      </c>
      <c r="F10" s="6">
        <v>75</v>
      </c>
      <c r="G10" s="6">
        <v>237</v>
      </c>
      <c r="H10" s="7">
        <v>297</v>
      </c>
      <c r="I10" s="6">
        <v>650</v>
      </c>
      <c r="J10" s="6">
        <v>47</v>
      </c>
      <c r="K10" s="6">
        <v>231</v>
      </c>
      <c r="L10" s="5">
        <f t="shared" si="0"/>
        <v>278</v>
      </c>
      <c r="M10" s="6">
        <v>19</v>
      </c>
    </row>
    <row r="11" spans="1:13" x14ac:dyDescent="0.3">
      <c r="A11" s="3" t="s">
        <v>14</v>
      </c>
      <c r="B11" s="4" t="s">
        <v>12</v>
      </c>
      <c r="C11" s="4" t="s">
        <v>24</v>
      </c>
      <c r="D11" s="5">
        <v>443</v>
      </c>
      <c r="E11" s="5">
        <v>0</v>
      </c>
      <c r="F11" s="6">
        <v>48</v>
      </c>
      <c r="G11" s="6">
        <v>192</v>
      </c>
      <c r="H11" s="7">
        <v>207</v>
      </c>
      <c r="I11" s="6">
        <v>450</v>
      </c>
      <c r="J11" s="6">
        <v>29</v>
      </c>
      <c r="K11" s="6">
        <v>161</v>
      </c>
      <c r="L11" s="5">
        <f t="shared" si="0"/>
        <v>190</v>
      </c>
      <c r="M11" s="6">
        <v>17</v>
      </c>
    </row>
    <row r="12" spans="1:13" x14ac:dyDescent="0.3">
      <c r="A12" s="3" t="s">
        <v>14</v>
      </c>
      <c r="B12" s="4" t="s">
        <v>12</v>
      </c>
      <c r="C12" s="4" t="s">
        <v>25</v>
      </c>
      <c r="D12" s="5">
        <v>650</v>
      </c>
      <c r="E12" s="5">
        <v>0</v>
      </c>
      <c r="F12" s="6">
        <v>126</v>
      </c>
      <c r="G12" s="6">
        <v>267</v>
      </c>
      <c r="H12" s="7">
        <v>352</v>
      </c>
      <c r="I12" s="6">
        <v>600</v>
      </c>
      <c r="J12" s="6">
        <v>17</v>
      </c>
      <c r="K12" s="6">
        <v>326</v>
      </c>
      <c r="L12" s="5">
        <f t="shared" si="0"/>
        <v>343</v>
      </c>
      <c r="M12" s="6">
        <v>8</v>
      </c>
    </row>
    <row r="13" spans="1:13" x14ac:dyDescent="0.3">
      <c r="A13" s="3" t="s">
        <v>14</v>
      </c>
      <c r="B13" s="4" t="s">
        <v>12</v>
      </c>
      <c r="C13" s="4" t="s">
        <v>26</v>
      </c>
      <c r="D13" s="5">
        <v>1001</v>
      </c>
      <c r="E13" s="5">
        <v>0</v>
      </c>
      <c r="F13" s="6">
        <v>85</v>
      </c>
      <c r="G13" s="6">
        <v>320</v>
      </c>
      <c r="H13" s="7">
        <v>438</v>
      </c>
      <c r="I13" s="6">
        <v>950</v>
      </c>
      <c r="J13" s="6">
        <v>48</v>
      </c>
      <c r="K13" s="6">
        <v>366</v>
      </c>
      <c r="L13" s="5">
        <f t="shared" si="0"/>
        <v>414</v>
      </c>
      <c r="M13" s="6">
        <v>24</v>
      </c>
    </row>
    <row r="14" spans="1:13" x14ac:dyDescent="0.3">
      <c r="A14" s="3" t="s">
        <v>14</v>
      </c>
      <c r="B14" s="4" t="s">
        <v>12</v>
      </c>
      <c r="C14" s="4" t="s">
        <v>27</v>
      </c>
      <c r="D14" s="5">
        <v>391</v>
      </c>
      <c r="E14" s="5">
        <v>0</v>
      </c>
      <c r="F14" s="6">
        <v>30</v>
      </c>
      <c r="G14" s="6">
        <v>140</v>
      </c>
      <c r="H14" s="7">
        <v>173</v>
      </c>
      <c r="I14" s="6">
        <v>400</v>
      </c>
      <c r="J14" s="6">
        <v>16</v>
      </c>
      <c r="K14" s="6">
        <v>149</v>
      </c>
      <c r="L14" s="5">
        <f t="shared" si="0"/>
        <v>165</v>
      </c>
      <c r="M14" s="6">
        <v>8</v>
      </c>
    </row>
    <row r="15" spans="1:13" x14ac:dyDescent="0.3">
      <c r="A15" s="3" t="s">
        <v>14</v>
      </c>
      <c r="B15" s="4" t="s">
        <v>12</v>
      </c>
      <c r="C15" s="4" t="s">
        <v>28</v>
      </c>
      <c r="D15" s="5">
        <v>556</v>
      </c>
      <c r="E15" s="5">
        <v>0</v>
      </c>
      <c r="F15" s="6">
        <v>38</v>
      </c>
      <c r="G15" s="6">
        <v>226</v>
      </c>
      <c r="H15" s="7">
        <v>289</v>
      </c>
      <c r="I15" s="6">
        <v>550</v>
      </c>
      <c r="J15" s="6">
        <v>16</v>
      </c>
      <c r="K15" s="6">
        <v>271</v>
      </c>
      <c r="L15" s="5">
        <f t="shared" si="0"/>
        <v>287</v>
      </c>
      <c r="M15" s="6">
        <v>2</v>
      </c>
    </row>
    <row r="16" spans="1:13" x14ac:dyDescent="0.3">
      <c r="A16" s="3" t="s">
        <v>14</v>
      </c>
      <c r="B16" s="4" t="s">
        <v>12</v>
      </c>
      <c r="C16" s="4" t="s">
        <v>29</v>
      </c>
      <c r="D16" s="5">
        <v>351</v>
      </c>
      <c r="E16" s="5">
        <v>2</v>
      </c>
      <c r="F16" s="6">
        <v>38</v>
      </c>
      <c r="G16" s="6">
        <v>110</v>
      </c>
      <c r="H16" s="7">
        <v>165</v>
      </c>
      <c r="I16" s="6">
        <v>350</v>
      </c>
      <c r="J16" s="6">
        <v>7</v>
      </c>
      <c r="K16" s="6">
        <v>150</v>
      </c>
      <c r="L16" s="5">
        <f t="shared" si="0"/>
        <v>157</v>
      </c>
      <c r="M16" s="6">
        <v>8</v>
      </c>
    </row>
    <row r="17" spans="1:13" x14ac:dyDescent="0.3">
      <c r="A17" s="3" t="s">
        <v>14</v>
      </c>
      <c r="B17" s="4" t="s">
        <v>12</v>
      </c>
      <c r="C17" s="4" t="s">
        <v>30</v>
      </c>
      <c r="D17" s="5">
        <v>353</v>
      </c>
      <c r="E17" s="5">
        <v>0</v>
      </c>
      <c r="F17" s="6">
        <v>50</v>
      </c>
      <c r="G17" s="6">
        <v>141</v>
      </c>
      <c r="H17" s="7">
        <v>164</v>
      </c>
      <c r="I17" s="6">
        <v>350</v>
      </c>
      <c r="J17" s="6">
        <v>8</v>
      </c>
      <c r="K17" s="6">
        <v>152</v>
      </c>
      <c r="L17" s="5">
        <f t="shared" si="0"/>
        <v>160</v>
      </c>
      <c r="M17" s="6">
        <v>4</v>
      </c>
    </row>
    <row r="18" spans="1:13" x14ac:dyDescent="0.3">
      <c r="A18" s="3" t="s">
        <v>14</v>
      </c>
      <c r="B18" s="4" t="s">
        <v>12</v>
      </c>
      <c r="C18" s="4" t="s">
        <v>31</v>
      </c>
      <c r="D18" s="5">
        <v>681</v>
      </c>
      <c r="E18" s="5">
        <v>1</v>
      </c>
      <c r="F18" s="6">
        <v>23</v>
      </c>
      <c r="G18" s="6">
        <v>152</v>
      </c>
      <c r="H18" s="7">
        <v>267</v>
      </c>
      <c r="I18" s="6">
        <v>650</v>
      </c>
      <c r="J18" s="6">
        <v>59</v>
      </c>
      <c r="K18" s="6">
        <v>187</v>
      </c>
      <c r="L18" s="5">
        <f t="shared" si="0"/>
        <v>246</v>
      </c>
      <c r="M18" s="6">
        <v>21</v>
      </c>
    </row>
    <row r="19" spans="1:13" x14ac:dyDescent="0.3">
      <c r="A19" s="3" t="s">
        <v>14</v>
      </c>
      <c r="B19" s="4" t="s">
        <v>12</v>
      </c>
      <c r="C19" s="4" t="s">
        <v>32</v>
      </c>
      <c r="D19" s="5">
        <v>1135</v>
      </c>
      <c r="E19" s="5">
        <v>0</v>
      </c>
      <c r="F19" s="6">
        <v>133</v>
      </c>
      <c r="G19" s="6">
        <v>395</v>
      </c>
      <c r="H19" s="7">
        <v>498</v>
      </c>
      <c r="I19" s="6">
        <v>1050</v>
      </c>
      <c r="J19" s="6">
        <v>123</v>
      </c>
      <c r="K19" s="6">
        <v>343</v>
      </c>
      <c r="L19" s="5">
        <f t="shared" si="0"/>
        <v>466</v>
      </c>
      <c r="M19" s="6">
        <v>31</v>
      </c>
    </row>
    <row r="20" spans="1:13" x14ac:dyDescent="0.3">
      <c r="A20" s="3" t="s">
        <v>14</v>
      </c>
      <c r="B20" s="4" t="s">
        <v>12</v>
      </c>
      <c r="C20" s="4" t="s">
        <v>33</v>
      </c>
      <c r="D20" s="5">
        <v>748</v>
      </c>
      <c r="E20" s="5">
        <v>2</v>
      </c>
      <c r="F20" s="6">
        <v>87</v>
      </c>
      <c r="G20" s="6">
        <v>272</v>
      </c>
      <c r="H20" s="7">
        <v>339</v>
      </c>
      <c r="I20" s="6">
        <v>700</v>
      </c>
      <c r="J20" s="6">
        <v>97</v>
      </c>
      <c r="K20" s="6">
        <v>215</v>
      </c>
      <c r="L20" s="5">
        <f t="shared" si="0"/>
        <v>312</v>
      </c>
      <c r="M20" s="6">
        <v>27</v>
      </c>
    </row>
    <row r="21" spans="1:13" x14ac:dyDescent="0.3">
      <c r="A21" s="3" t="s">
        <v>14</v>
      </c>
      <c r="B21" s="4" t="s">
        <v>12</v>
      </c>
      <c r="C21" s="4" t="s">
        <v>34</v>
      </c>
      <c r="D21" s="5">
        <v>235</v>
      </c>
      <c r="E21" s="5">
        <v>0</v>
      </c>
      <c r="F21" s="6">
        <v>35</v>
      </c>
      <c r="G21" s="6">
        <v>94</v>
      </c>
      <c r="H21" s="7">
        <v>116</v>
      </c>
      <c r="I21" s="6">
        <v>250</v>
      </c>
      <c r="J21" s="6">
        <v>19</v>
      </c>
      <c r="K21" s="6">
        <v>92</v>
      </c>
      <c r="L21" s="5">
        <f t="shared" si="0"/>
        <v>111</v>
      </c>
      <c r="M21" s="6">
        <v>5</v>
      </c>
    </row>
    <row r="22" spans="1:13" x14ac:dyDescent="0.3">
      <c r="A22" s="3" t="s">
        <v>14</v>
      </c>
      <c r="B22" s="4" t="s">
        <v>12</v>
      </c>
      <c r="C22" s="4" t="s">
        <v>35</v>
      </c>
      <c r="D22" s="5">
        <v>308</v>
      </c>
      <c r="E22" s="5">
        <v>1</v>
      </c>
      <c r="F22" s="6">
        <v>59</v>
      </c>
      <c r="G22" s="6">
        <v>121</v>
      </c>
      <c r="H22" s="7">
        <v>132</v>
      </c>
      <c r="I22" s="6">
        <v>350</v>
      </c>
      <c r="J22" s="6">
        <v>14</v>
      </c>
      <c r="K22" s="6">
        <v>111</v>
      </c>
      <c r="L22" s="5">
        <f t="shared" si="0"/>
        <v>125</v>
      </c>
      <c r="M22" s="6">
        <v>7</v>
      </c>
    </row>
    <row r="23" spans="1:13" x14ac:dyDescent="0.3">
      <c r="A23" s="3" t="s">
        <v>14</v>
      </c>
      <c r="B23" s="4" t="s">
        <v>12</v>
      </c>
      <c r="C23" s="4" t="s">
        <v>36</v>
      </c>
      <c r="D23" s="5">
        <v>279</v>
      </c>
      <c r="E23" s="5">
        <v>0</v>
      </c>
      <c r="F23" s="6">
        <v>22</v>
      </c>
      <c r="G23" s="6">
        <v>89</v>
      </c>
      <c r="H23" s="7">
        <v>98</v>
      </c>
      <c r="I23" s="6">
        <v>300</v>
      </c>
      <c r="J23" s="6">
        <v>9</v>
      </c>
      <c r="K23" s="6">
        <v>85</v>
      </c>
      <c r="L23" s="5">
        <f t="shared" si="0"/>
        <v>94</v>
      </c>
      <c r="M23" s="6">
        <v>4</v>
      </c>
    </row>
    <row r="24" spans="1:13" x14ac:dyDescent="0.3">
      <c r="A24" s="3" t="s">
        <v>14</v>
      </c>
      <c r="B24" s="4" t="s">
        <v>12</v>
      </c>
      <c r="C24" s="4" t="s">
        <v>37</v>
      </c>
      <c r="D24" s="5">
        <v>770</v>
      </c>
      <c r="E24" s="5">
        <v>15</v>
      </c>
      <c r="F24" s="6">
        <v>54</v>
      </c>
      <c r="G24" s="6">
        <v>164</v>
      </c>
      <c r="H24" s="7">
        <v>233</v>
      </c>
      <c r="I24" s="6">
        <v>750</v>
      </c>
      <c r="J24" s="6">
        <v>23</v>
      </c>
      <c r="K24" s="6">
        <v>199</v>
      </c>
      <c r="L24" s="5">
        <f t="shared" si="0"/>
        <v>222</v>
      </c>
      <c r="M24" s="6">
        <v>11</v>
      </c>
    </row>
    <row r="25" spans="1:13" x14ac:dyDescent="0.3">
      <c r="A25" s="3" t="s">
        <v>14</v>
      </c>
      <c r="B25" s="4" t="s">
        <v>12</v>
      </c>
      <c r="C25" s="4" t="s">
        <v>38</v>
      </c>
      <c r="D25" s="5">
        <v>573</v>
      </c>
      <c r="E25" s="5">
        <v>0</v>
      </c>
      <c r="F25" s="6">
        <v>69</v>
      </c>
      <c r="G25" s="6">
        <v>185</v>
      </c>
      <c r="H25" s="7">
        <v>231</v>
      </c>
      <c r="I25" s="6">
        <v>550</v>
      </c>
      <c r="J25" s="6">
        <v>14</v>
      </c>
      <c r="K25" s="6">
        <v>207</v>
      </c>
      <c r="L25" s="5">
        <f t="shared" si="0"/>
        <v>221</v>
      </c>
      <c r="M25" s="6">
        <v>10</v>
      </c>
    </row>
    <row r="26" spans="1:13" x14ac:dyDescent="0.3">
      <c r="A26" s="3" t="s">
        <v>14</v>
      </c>
      <c r="B26" s="4" t="s">
        <v>12</v>
      </c>
      <c r="C26" s="4" t="s">
        <v>39</v>
      </c>
      <c r="D26" s="5">
        <v>426</v>
      </c>
      <c r="E26" s="5">
        <v>0</v>
      </c>
      <c r="F26" s="6">
        <v>35</v>
      </c>
      <c r="G26" s="6">
        <v>112</v>
      </c>
      <c r="H26" s="7">
        <v>147</v>
      </c>
      <c r="I26" s="6">
        <v>450</v>
      </c>
      <c r="J26" s="6">
        <v>22</v>
      </c>
      <c r="K26" s="6">
        <v>118</v>
      </c>
      <c r="L26" s="5">
        <f t="shared" si="0"/>
        <v>140</v>
      </c>
      <c r="M26" s="6">
        <v>7</v>
      </c>
    </row>
    <row r="27" spans="1:13" x14ac:dyDescent="0.3">
      <c r="A27" s="3" t="s">
        <v>14</v>
      </c>
      <c r="B27" s="4" t="s">
        <v>12</v>
      </c>
      <c r="C27" s="4" t="s">
        <v>40</v>
      </c>
      <c r="D27" s="5">
        <v>452</v>
      </c>
      <c r="E27" s="5">
        <v>1</v>
      </c>
      <c r="F27" s="6">
        <v>49</v>
      </c>
      <c r="G27" s="6">
        <v>148</v>
      </c>
      <c r="H27" s="7">
        <v>199</v>
      </c>
      <c r="I27" s="6">
        <v>450</v>
      </c>
      <c r="J27" s="6">
        <v>28</v>
      </c>
      <c r="K27" s="6">
        <v>166</v>
      </c>
      <c r="L27" s="5">
        <f t="shared" si="0"/>
        <v>194</v>
      </c>
      <c r="M27" s="6">
        <v>5</v>
      </c>
    </row>
    <row r="28" spans="1:13" x14ac:dyDescent="0.3">
      <c r="A28" s="3" t="s">
        <v>14</v>
      </c>
      <c r="B28" s="4" t="s">
        <v>12</v>
      </c>
      <c r="C28" s="4" t="s">
        <v>41</v>
      </c>
      <c r="D28" s="5">
        <v>417</v>
      </c>
      <c r="E28" s="5">
        <v>0</v>
      </c>
      <c r="F28" s="6">
        <v>30</v>
      </c>
      <c r="G28" s="6">
        <v>132</v>
      </c>
      <c r="H28" s="7">
        <v>192</v>
      </c>
      <c r="I28" s="6">
        <v>450</v>
      </c>
      <c r="J28" s="6">
        <v>10</v>
      </c>
      <c r="K28" s="6">
        <v>180</v>
      </c>
      <c r="L28" s="5">
        <f t="shared" si="0"/>
        <v>190</v>
      </c>
      <c r="M28" s="6">
        <v>2</v>
      </c>
    </row>
    <row r="29" spans="1:13" x14ac:dyDescent="0.3">
      <c r="A29" s="3" t="s">
        <v>14</v>
      </c>
      <c r="B29" s="4" t="s">
        <v>12</v>
      </c>
      <c r="C29" s="4" t="s">
        <v>42</v>
      </c>
      <c r="D29" s="5">
        <v>323</v>
      </c>
      <c r="E29" s="5">
        <v>0</v>
      </c>
      <c r="F29" s="6">
        <v>17</v>
      </c>
      <c r="G29" s="6">
        <v>77</v>
      </c>
      <c r="H29" s="7">
        <v>96</v>
      </c>
      <c r="I29" s="6">
        <v>350</v>
      </c>
      <c r="J29" s="6">
        <v>2</v>
      </c>
      <c r="K29" s="6">
        <v>92</v>
      </c>
      <c r="L29" s="5">
        <f t="shared" si="0"/>
        <v>94</v>
      </c>
      <c r="M29" s="6">
        <v>2</v>
      </c>
    </row>
    <row r="30" spans="1:13" x14ac:dyDescent="0.3">
      <c r="A30" s="3" t="s">
        <v>14</v>
      </c>
      <c r="B30" s="4" t="s">
        <v>12</v>
      </c>
      <c r="C30" s="4" t="s">
        <v>43</v>
      </c>
      <c r="D30" s="5">
        <v>267</v>
      </c>
      <c r="E30" s="5">
        <v>0</v>
      </c>
      <c r="F30" s="6">
        <v>23</v>
      </c>
      <c r="G30" s="6">
        <v>73</v>
      </c>
      <c r="H30" s="7">
        <v>93</v>
      </c>
      <c r="I30" s="6">
        <v>300</v>
      </c>
      <c r="J30" s="6">
        <v>10</v>
      </c>
      <c r="K30" s="6">
        <v>76</v>
      </c>
      <c r="L30" s="5">
        <f t="shared" si="0"/>
        <v>86</v>
      </c>
      <c r="M30" s="6">
        <v>7</v>
      </c>
    </row>
    <row r="31" spans="1:13" x14ac:dyDescent="0.3">
      <c r="A31" s="3" t="s">
        <v>14</v>
      </c>
      <c r="B31" s="4" t="s">
        <v>12</v>
      </c>
      <c r="C31" s="4" t="s">
        <v>44</v>
      </c>
      <c r="D31" s="5">
        <v>211</v>
      </c>
      <c r="E31" s="5">
        <v>1</v>
      </c>
      <c r="F31" s="6">
        <v>30</v>
      </c>
      <c r="G31" s="6">
        <v>80</v>
      </c>
      <c r="H31" s="7">
        <v>103</v>
      </c>
      <c r="I31" s="6">
        <v>250</v>
      </c>
      <c r="J31" s="6">
        <v>6</v>
      </c>
      <c r="K31" s="6">
        <v>94</v>
      </c>
      <c r="L31" s="5">
        <f t="shared" si="0"/>
        <v>100</v>
      </c>
      <c r="M31" s="6">
        <v>3</v>
      </c>
    </row>
    <row r="32" spans="1:13" x14ac:dyDescent="0.3">
      <c r="A32" s="3" t="s">
        <v>14</v>
      </c>
      <c r="B32" s="4" t="s">
        <v>12</v>
      </c>
      <c r="C32" s="4" t="s">
        <v>45</v>
      </c>
      <c r="D32" s="5">
        <v>554</v>
      </c>
      <c r="E32" s="5">
        <v>0</v>
      </c>
      <c r="F32" s="6">
        <v>23</v>
      </c>
      <c r="G32" s="6">
        <v>143</v>
      </c>
      <c r="H32" s="7">
        <v>178</v>
      </c>
      <c r="I32" s="6">
        <v>500</v>
      </c>
      <c r="J32" s="6">
        <v>22</v>
      </c>
      <c r="K32" s="6">
        <v>146</v>
      </c>
      <c r="L32" s="5">
        <f t="shared" si="0"/>
        <v>168</v>
      </c>
      <c r="M32" s="6">
        <v>10</v>
      </c>
    </row>
    <row r="33" spans="1:13" x14ac:dyDescent="0.3">
      <c r="A33" s="3" t="s">
        <v>14</v>
      </c>
      <c r="B33" s="4" t="s">
        <v>12</v>
      </c>
      <c r="C33" s="4" t="s">
        <v>46</v>
      </c>
      <c r="D33" s="5">
        <v>658</v>
      </c>
      <c r="E33" s="5">
        <v>9</v>
      </c>
      <c r="F33" s="6">
        <v>4</v>
      </c>
      <c r="G33" s="6">
        <v>9</v>
      </c>
      <c r="H33" s="7">
        <v>9</v>
      </c>
      <c r="I33" s="6">
        <v>600</v>
      </c>
      <c r="J33" s="6">
        <v>0</v>
      </c>
      <c r="K33" s="6">
        <v>9</v>
      </c>
      <c r="L33" s="5">
        <f t="shared" si="0"/>
        <v>9</v>
      </c>
      <c r="M33" s="6">
        <v>0</v>
      </c>
    </row>
    <row r="34" spans="1:13" x14ac:dyDescent="0.3">
      <c r="A34" s="3" t="s">
        <v>14</v>
      </c>
      <c r="B34" s="4" t="s">
        <v>12</v>
      </c>
      <c r="C34" s="4" t="s">
        <v>47</v>
      </c>
      <c r="D34" s="5">
        <v>341</v>
      </c>
      <c r="E34" s="5">
        <v>0</v>
      </c>
      <c r="F34" s="6">
        <v>49</v>
      </c>
      <c r="G34" s="6">
        <v>117</v>
      </c>
      <c r="H34" s="7">
        <v>153</v>
      </c>
      <c r="I34" s="6">
        <v>350</v>
      </c>
      <c r="J34" s="6">
        <v>14</v>
      </c>
      <c r="K34" s="6">
        <v>137</v>
      </c>
      <c r="L34" s="5">
        <f t="shared" si="0"/>
        <v>151</v>
      </c>
      <c r="M34" s="6">
        <v>2</v>
      </c>
    </row>
    <row r="35" spans="1:13" x14ac:dyDescent="0.3">
      <c r="A35" s="3" t="s">
        <v>14</v>
      </c>
      <c r="B35" s="4" t="s">
        <v>12</v>
      </c>
      <c r="C35" s="4" t="s">
        <v>48</v>
      </c>
      <c r="D35" s="5">
        <v>196</v>
      </c>
      <c r="E35" s="5">
        <v>1</v>
      </c>
      <c r="F35" s="6">
        <v>28</v>
      </c>
      <c r="G35" s="6">
        <v>70</v>
      </c>
      <c r="H35" s="7">
        <v>90</v>
      </c>
      <c r="I35" s="6">
        <v>200</v>
      </c>
      <c r="J35" s="6">
        <v>1</v>
      </c>
      <c r="K35" s="6">
        <v>89</v>
      </c>
      <c r="L35" s="5">
        <f t="shared" si="0"/>
        <v>90</v>
      </c>
      <c r="M35" s="6">
        <v>0</v>
      </c>
    </row>
    <row r="36" spans="1:13" x14ac:dyDescent="0.3">
      <c r="A36" s="3" t="s">
        <v>14</v>
      </c>
      <c r="B36" s="4" t="s">
        <v>12</v>
      </c>
      <c r="C36" s="4" t="s">
        <v>49</v>
      </c>
      <c r="D36" s="5">
        <v>254</v>
      </c>
      <c r="E36" s="5">
        <v>1</v>
      </c>
      <c r="F36" s="6">
        <v>40</v>
      </c>
      <c r="G36" s="6">
        <v>96</v>
      </c>
      <c r="H36" s="7">
        <v>125</v>
      </c>
      <c r="I36" s="6">
        <v>250</v>
      </c>
      <c r="J36" s="6">
        <v>7</v>
      </c>
      <c r="K36" s="6">
        <v>116</v>
      </c>
      <c r="L36" s="5">
        <f t="shared" si="0"/>
        <v>123</v>
      </c>
      <c r="M36" s="6">
        <v>2</v>
      </c>
    </row>
    <row r="37" spans="1:13" x14ac:dyDescent="0.3">
      <c r="A37" s="3" t="s">
        <v>14</v>
      </c>
      <c r="B37" s="4" t="s">
        <v>12</v>
      </c>
      <c r="C37" s="4" t="s">
        <v>50</v>
      </c>
      <c r="D37" s="5">
        <v>414</v>
      </c>
      <c r="E37" s="5">
        <v>0</v>
      </c>
      <c r="F37" s="6">
        <v>60</v>
      </c>
      <c r="G37" s="6">
        <v>145</v>
      </c>
      <c r="H37" s="7">
        <v>172</v>
      </c>
      <c r="I37" s="6">
        <v>450</v>
      </c>
      <c r="J37" s="6">
        <v>8</v>
      </c>
      <c r="K37" s="6">
        <v>162</v>
      </c>
      <c r="L37" s="5">
        <f t="shared" si="0"/>
        <v>170</v>
      </c>
      <c r="M37" s="6">
        <v>2</v>
      </c>
    </row>
    <row r="38" spans="1:13" x14ac:dyDescent="0.3">
      <c r="A38" s="3" t="s">
        <v>14</v>
      </c>
      <c r="B38" s="4" t="s">
        <v>12</v>
      </c>
      <c r="C38" s="4" t="s">
        <v>51</v>
      </c>
      <c r="D38" s="5">
        <v>411</v>
      </c>
      <c r="E38" s="5">
        <v>0</v>
      </c>
      <c r="F38" s="6">
        <v>35</v>
      </c>
      <c r="G38" s="6">
        <v>170</v>
      </c>
      <c r="H38" s="7">
        <v>206</v>
      </c>
      <c r="I38" s="6">
        <v>450</v>
      </c>
      <c r="J38" s="6">
        <v>12</v>
      </c>
      <c r="K38" s="6">
        <v>184</v>
      </c>
      <c r="L38" s="5">
        <f t="shared" ref="L38:L56" si="1">SUM(J38:K38)</f>
        <v>196</v>
      </c>
      <c r="M38" s="6">
        <v>10</v>
      </c>
    </row>
    <row r="39" spans="1:13" x14ac:dyDescent="0.3">
      <c r="A39" s="3" t="s">
        <v>14</v>
      </c>
      <c r="B39" s="4" t="s">
        <v>12</v>
      </c>
      <c r="C39" s="4" t="s">
        <v>52</v>
      </c>
      <c r="D39" s="5">
        <v>224</v>
      </c>
      <c r="E39" s="5">
        <v>0</v>
      </c>
      <c r="F39" s="6">
        <v>25</v>
      </c>
      <c r="G39" s="6">
        <v>75</v>
      </c>
      <c r="H39" s="7">
        <v>102</v>
      </c>
      <c r="I39" s="6">
        <v>250</v>
      </c>
      <c r="J39" s="6">
        <v>5</v>
      </c>
      <c r="K39" s="6">
        <v>94</v>
      </c>
      <c r="L39" s="5">
        <f t="shared" si="1"/>
        <v>99</v>
      </c>
      <c r="M39" s="6">
        <v>3</v>
      </c>
    </row>
    <row r="40" spans="1:13" x14ac:dyDescent="0.3">
      <c r="A40" s="3" t="s">
        <v>14</v>
      </c>
      <c r="B40" s="4" t="s">
        <v>12</v>
      </c>
      <c r="C40" s="4" t="s">
        <v>53</v>
      </c>
      <c r="D40" s="5">
        <v>454</v>
      </c>
      <c r="E40" s="5">
        <v>1</v>
      </c>
      <c r="F40" s="6">
        <v>60</v>
      </c>
      <c r="G40" s="6">
        <v>159</v>
      </c>
      <c r="H40" s="7">
        <v>215</v>
      </c>
      <c r="I40" s="6">
        <v>450</v>
      </c>
      <c r="J40" s="6">
        <v>7</v>
      </c>
      <c r="K40" s="6">
        <v>206</v>
      </c>
      <c r="L40" s="5">
        <f t="shared" si="1"/>
        <v>213</v>
      </c>
      <c r="M40" s="6">
        <v>2</v>
      </c>
    </row>
    <row r="41" spans="1:13" x14ac:dyDescent="0.3">
      <c r="A41" s="3" t="s">
        <v>14</v>
      </c>
      <c r="B41" s="4" t="s">
        <v>12</v>
      </c>
      <c r="C41" s="4" t="s">
        <v>54</v>
      </c>
      <c r="D41" s="5">
        <v>506</v>
      </c>
      <c r="E41" s="5">
        <v>0</v>
      </c>
      <c r="F41" s="6">
        <v>49</v>
      </c>
      <c r="G41" s="6">
        <v>178</v>
      </c>
      <c r="H41" s="7">
        <v>228</v>
      </c>
      <c r="I41" s="6">
        <v>500</v>
      </c>
      <c r="J41" s="6">
        <v>8</v>
      </c>
      <c r="K41" s="6">
        <v>207</v>
      </c>
      <c r="L41" s="5">
        <f t="shared" si="1"/>
        <v>215</v>
      </c>
      <c r="M41" s="6">
        <v>13</v>
      </c>
    </row>
    <row r="42" spans="1:13" x14ac:dyDescent="0.3">
      <c r="A42" s="3" t="s">
        <v>14</v>
      </c>
      <c r="B42" s="4" t="s">
        <v>12</v>
      </c>
      <c r="C42" s="4" t="s">
        <v>55</v>
      </c>
      <c r="D42" s="5">
        <v>563</v>
      </c>
      <c r="E42" s="5">
        <v>1</v>
      </c>
      <c r="F42" s="6">
        <v>43</v>
      </c>
      <c r="G42" s="6">
        <v>187</v>
      </c>
      <c r="H42" s="7">
        <v>240</v>
      </c>
      <c r="I42" s="6">
        <v>550</v>
      </c>
      <c r="J42" s="6">
        <v>16</v>
      </c>
      <c r="K42" s="6">
        <v>223</v>
      </c>
      <c r="L42" s="5">
        <f t="shared" si="1"/>
        <v>239</v>
      </c>
      <c r="M42" s="6">
        <v>1</v>
      </c>
    </row>
    <row r="43" spans="1:13" x14ac:dyDescent="0.3">
      <c r="A43" s="3" t="s">
        <v>14</v>
      </c>
      <c r="B43" s="4" t="s">
        <v>12</v>
      </c>
      <c r="C43" s="4" t="s">
        <v>56</v>
      </c>
      <c r="D43" s="5">
        <v>621</v>
      </c>
      <c r="E43" s="5">
        <v>0</v>
      </c>
      <c r="F43" s="6">
        <v>55</v>
      </c>
      <c r="G43" s="6">
        <v>230</v>
      </c>
      <c r="H43" s="7">
        <v>258</v>
      </c>
      <c r="I43" s="6">
        <v>550</v>
      </c>
      <c r="J43" s="6">
        <v>34</v>
      </c>
      <c r="K43" s="6">
        <v>222</v>
      </c>
      <c r="L43" s="5">
        <f t="shared" si="1"/>
        <v>256</v>
      </c>
      <c r="M43" s="6">
        <v>2</v>
      </c>
    </row>
    <row r="44" spans="1:13" x14ac:dyDescent="0.3">
      <c r="A44" s="3" t="s">
        <v>14</v>
      </c>
      <c r="B44" s="4" t="s">
        <v>12</v>
      </c>
      <c r="C44" s="4" t="s">
        <v>57</v>
      </c>
      <c r="D44" s="5">
        <v>175</v>
      </c>
      <c r="E44" s="5">
        <v>0</v>
      </c>
      <c r="F44" s="6">
        <v>18</v>
      </c>
      <c r="G44" s="6">
        <v>52</v>
      </c>
      <c r="H44" s="7">
        <v>57</v>
      </c>
      <c r="I44" s="6">
        <v>200</v>
      </c>
      <c r="J44" s="6">
        <v>5</v>
      </c>
      <c r="K44" s="6">
        <v>50</v>
      </c>
      <c r="L44" s="5">
        <f t="shared" si="1"/>
        <v>55</v>
      </c>
      <c r="M44" s="6">
        <v>2</v>
      </c>
    </row>
    <row r="45" spans="1:13" x14ac:dyDescent="0.3">
      <c r="A45" s="3" t="s">
        <v>14</v>
      </c>
      <c r="B45" s="4" t="s">
        <v>12</v>
      </c>
      <c r="C45" s="4" t="s">
        <v>58</v>
      </c>
      <c r="D45" s="5">
        <v>203</v>
      </c>
      <c r="E45" s="5">
        <v>0</v>
      </c>
      <c r="F45" s="6">
        <v>12</v>
      </c>
      <c r="G45" s="6">
        <v>41</v>
      </c>
      <c r="H45" s="7">
        <v>65</v>
      </c>
      <c r="I45" s="6">
        <v>200</v>
      </c>
      <c r="J45" s="6">
        <v>4</v>
      </c>
      <c r="K45" s="6">
        <v>61</v>
      </c>
      <c r="L45" s="5">
        <f t="shared" si="1"/>
        <v>65</v>
      </c>
      <c r="M45" s="6">
        <v>0</v>
      </c>
    </row>
    <row r="46" spans="1:13" x14ac:dyDescent="0.3">
      <c r="A46" s="3" t="s">
        <v>14</v>
      </c>
      <c r="B46" s="4" t="s">
        <v>12</v>
      </c>
      <c r="C46" s="4" t="s">
        <v>59</v>
      </c>
      <c r="D46" s="5">
        <v>301</v>
      </c>
      <c r="E46" s="5">
        <v>10</v>
      </c>
      <c r="F46" s="6">
        <v>2</v>
      </c>
      <c r="G46" s="6">
        <v>9</v>
      </c>
      <c r="H46" s="7">
        <v>9</v>
      </c>
      <c r="I46" s="6">
        <v>300</v>
      </c>
      <c r="J46" s="6">
        <v>0</v>
      </c>
      <c r="K46" s="6">
        <v>9</v>
      </c>
      <c r="L46" s="5">
        <f t="shared" si="1"/>
        <v>9</v>
      </c>
      <c r="M46" s="6">
        <v>0</v>
      </c>
    </row>
    <row r="47" spans="1:13" x14ac:dyDescent="0.3">
      <c r="A47" s="3" t="s">
        <v>14</v>
      </c>
      <c r="B47" s="4" t="s">
        <v>12</v>
      </c>
      <c r="C47" s="4" t="s">
        <v>60</v>
      </c>
      <c r="D47" s="5">
        <v>275</v>
      </c>
      <c r="E47" s="5">
        <v>0</v>
      </c>
      <c r="F47" s="6">
        <v>20</v>
      </c>
      <c r="G47" s="6">
        <v>96</v>
      </c>
      <c r="H47" s="7">
        <v>127</v>
      </c>
      <c r="I47" s="6">
        <v>300</v>
      </c>
      <c r="J47" s="6">
        <v>18</v>
      </c>
      <c r="K47" s="6">
        <v>106</v>
      </c>
      <c r="L47" s="5">
        <f t="shared" si="1"/>
        <v>124</v>
      </c>
      <c r="M47" s="6">
        <v>3</v>
      </c>
    </row>
    <row r="48" spans="1:13" x14ac:dyDescent="0.3">
      <c r="A48" s="3" t="s">
        <v>14</v>
      </c>
      <c r="B48" s="4" t="s">
        <v>12</v>
      </c>
      <c r="C48" s="4" t="s">
        <v>61</v>
      </c>
      <c r="D48" s="5">
        <v>137</v>
      </c>
      <c r="E48" s="5">
        <v>1</v>
      </c>
      <c r="F48" s="6">
        <v>14</v>
      </c>
      <c r="G48" s="6">
        <v>55</v>
      </c>
      <c r="H48" s="7">
        <v>70</v>
      </c>
      <c r="I48" s="6">
        <v>150</v>
      </c>
      <c r="J48" s="6">
        <v>5</v>
      </c>
      <c r="K48" s="6">
        <v>58</v>
      </c>
      <c r="L48" s="5">
        <f t="shared" si="1"/>
        <v>63</v>
      </c>
      <c r="M48" s="6">
        <v>7</v>
      </c>
    </row>
    <row r="49" spans="1:13" x14ac:dyDescent="0.3">
      <c r="A49" s="3" t="s">
        <v>14</v>
      </c>
      <c r="B49" s="4" t="s">
        <v>12</v>
      </c>
      <c r="C49" s="4" t="s">
        <v>62</v>
      </c>
      <c r="D49" s="5">
        <v>150</v>
      </c>
      <c r="E49" s="5">
        <v>2</v>
      </c>
      <c r="F49" s="6">
        <v>16</v>
      </c>
      <c r="G49" s="6">
        <v>47</v>
      </c>
      <c r="H49" s="7">
        <v>56</v>
      </c>
      <c r="I49" s="6">
        <v>150</v>
      </c>
      <c r="J49" s="6">
        <v>3</v>
      </c>
      <c r="K49" s="6">
        <v>51</v>
      </c>
      <c r="L49" s="5">
        <f t="shared" si="1"/>
        <v>54</v>
      </c>
      <c r="M49" s="6">
        <v>2</v>
      </c>
    </row>
    <row r="50" spans="1:13" x14ac:dyDescent="0.3">
      <c r="A50" s="3" t="s">
        <v>14</v>
      </c>
      <c r="B50" s="4" t="s">
        <v>12</v>
      </c>
      <c r="C50" s="4" t="s">
        <v>63</v>
      </c>
      <c r="D50" s="5">
        <v>399</v>
      </c>
      <c r="E50" s="5">
        <v>0</v>
      </c>
      <c r="F50" s="6">
        <v>52</v>
      </c>
      <c r="G50" s="6">
        <v>170</v>
      </c>
      <c r="H50" s="7">
        <v>207</v>
      </c>
      <c r="I50" s="6">
        <v>400</v>
      </c>
      <c r="J50" s="6">
        <v>19</v>
      </c>
      <c r="K50" s="6">
        <v>176</v>
      </c>
      <c r="L50" s="5">
        <f t="shared" si="1"/>
        <v>195</v>
      </c>
      <c r="M50" s="6">
        <v>12</v>
      </c>
    </row>
    <row r="51" spans="1:13" x14ac:dyDescent="0.3">
      <c r="A51" s="3" t="s">
        <v>14</v>
      </c>
      <c r="B51" s="4" t="s">
        <v>12</v>
      </c>
      <c r="C51" s="4" t="s">
        <v>64</v>
      </c>
      <c r="D51" s="5">
        <v>352</v>
      </c>
      <c r="E51" s="5">
        <v>0</v>
      </c>
      <c r="F51" s="6">
        <v>70</v>
      </c>
      <c r="G51" s="6">
        <v>167</v>
      </c>
      <c r="H51" s="7">
        <v>202</v>
      </c>
      <c r="I51" s="6">
        <v>350</v>
      </c>
      <c r="J51" s="6">
        <v>12</v>
      </c>
      <c r="K51" s="6">
        <v>187</v>
      </c>
      <c r="L51" s="5">
        <f t="shared" si="1"/>
        <v>199</v>
      </c>
      <c r="M51" s="6">
        <v>3</v>
      </c>
    </row>
    <row r="52" spans="1:13" x14ac:dyDescent="0.3">
      <c r="A52" s="3" t="s">
        <v>14</v>
      </c>
      <c r="B52" s="4" t="s">
        <v>12</v>
      </c>
      <c r="C52" s="4" t="s">
        <v>65</v>
      </c>
      <c r="D52" s="5">
        <v>296</v>
      </c>
      <c r="E52" s="5">
        <v>1</v>
      </c>
      <c r="F52" s="6">
        <v>21</v>
      </c>
      <c r="G52" s="6">
        <v>103</v>
      </c>
      <c r="H52" s="7">
        <v>118</v>
      </c>
      <c r="I52" s="6">
        <v>300</v>
      </c>
      <c r="J52" s="6">
        <v>16</v>
      </c>
      <c r="K52" s="6">
        <v>97</v>
      </c>
      <c r="L52" s="5">
        <f t="shared" si="1"/>
        <v>113</v>
      </c>
      <c r="M52" s="6">
        <v>5</v>
      </c>
    </row>
    <row r="53" spans="1:13" x14ac:dyDescent="0.3">
      <c r="A53" s="3" t="s">
        <v>14</v>
      </c>
      <c r="B53" s="4" t="s">
        <v>12</v>
      </c>
      <c r="C53" s="4" t="s">
        <v>66</v>
      </c>
      <c r="D53" s="5">
        <v>185</v>
      </c>
      <c r="E53" s="5">
        <v>1</v>
      </c>
      <c r="F53" s="6">
        <v>34</v>
      </c>
      <c r="G53" s="6">
        <v>62</v>
      </c>
      <c r="H53" s="7">
        <v>84</v>
      </c>
      <c r="I53" s="6">
        <v>200</v>
      </c>
      <c r="J53" s="6">
        <v>7</v>
      </c>
      <c r="K53" s="6">
        <v>77</v>
      </c>
      <c r="L53" s="5">
        <f t="shared" si="1"/>
        <v>84</v>
      </c>
      <c r="M53" s="6">
        <v>0</v>
      </c>
    </row>
    <row r="54" spans="1:13" x14ac:dyDescent="0.3">
      <c r="A54" s="3" t="s">
        <v>14</v>
      </c>
      <c r="B54" s="4" t="s">
        <v>12</v>
      </c>
      <c r="C54" s="4" t="s">
        <v>67</v>
      </c>
      <c r="D54" s="5">
        <v>259</v>
      </c>
      <c r="E54" s="5">
        <v>1</v>
      </c>
      <c r="F54" s="6">
        <v>43</v>
      </c>
      <c r="G54" s="6">
        <v>99</v>
      </c>
      <c r="H54" s="7">
        <v>121</v>
      </c>
      <c r="I54" s="6">
        <v>300</v>
      </c>
      <c r="J54" s="6">
        <v>3</v>
      </c>
      <c r="K54" s="6">
        <v>114</v>
      </c>
      <c r="L54" s="5">
        <f t="shared" si="1"/>
        <v>117</v>
      </c>
      <c r="M54" s="6">
        <v>4</v>
      </c>
    </row>
    <row r="55" spans="1:13" x14ac:dyDescent="0.3">
      <c r="A55" s="3" t="s">
        <v>14</v>
      </c>
      <c r="B55" s="4" t="s">
        <v>12</v>
      </c>
      <c r="C55" s="4" t="s">
        <v>68</v>
      </c>
      <c r="D55" s="5">
        <v>314</v>
      </c>
      <c r="E55" s="5">
        <v>0</v>
      </c>
      <c r="F55" s="6">
        <v>47</v>
      </c>
      <c r="G55" s="6">
        <v>113</v>
      </c>
      <c r="H55" s="7">
        <v>149</v>
      </c>
      <c r="I55" s="6">
        <v>350</v>
      </c>
      <c r="J55" s="6">
        <v>9</v>
      </c>
      <c r="K55" s="6">
        <v>130</v>
      </c>
      <c r="L55" s="5">
        <f t="shared" si="1"/>
        <v>139</v>
      </c>
      <c r="M55" s="6">
        <v>10</v>
      </c>
    </row>
    <row r="56" spans="1:13" x14ac:dyDescent="0.3">
      <c r="A56" s="3" t="s">
        <v>14</v>
      </c>
      <c r="B56" s="4" t="s">
        <v>12</v>
      </c>
      <c r="C56" s="4" t="s">
        <v>69</v>
      </c>
      <c r="D56" s="5"/>
      <c r="E56" s="5">
        <v>30</v>
      </c>
      <c r="F56" s="6">
        <v>15</v>
      </c>
      <c r="G56" s="6">
        <v>28</v>
      </c>
      <c r="H56" s="7">
        <v>28</v>
      </c>
      <c r="I56" s="6">
        <v>50</v>
      </c>
      <c r="J56" s="6">
        <v>4</v>
      </c>
      <c r="K56" s="6">
        <v>24</v>
      </c>
      <c r="L56" s="5">
        <f t="shared" si="1"/>
        <v>28</v>
      </c>
      <c r="M56" s="6">
        <v>0</v>
      </c>
    </row>
    <row r="57" spans="1:13" s="2" customFormat="1" x14ac:dyDescent="0.3">
      <c r="B57" s="8" t="s">
        <v>7</v>
      </c>
      <c r="C57" s="8">
        <f>COUNTA(C2:C56)</f>
        <v>55</v>
      </c>
      <c r="D57" s="9">
        <f t="shared" ref="D57:H57" si="2">SUM(D2:D56)</f>
        <v>24214</v>
      </c>
      <c r="E57" s="10">
        <f t="shared" si="2"/>
        <v>91</v>
      </c>
      <c r="F57" s="10">
        <f t="shared" si="2"/>
        <v>2455</v>
      </c>
      <c r="G57" s="10">
        <f t="shared" si="2"/>
        <v>7944</v>
      </c>
      <c r="H57" s="10">
        <f t="shared" si="2"/>
        <v>10106</v>
      </c>
      <c r="I57" s="10"/>
      <c r="J57" s="10">
        <f t="shared" ref="J57:M57" si="3">SUM(J2:J56)</f>
        <v>1131</v>
      </c>
      <c r="K57" s="10">
        <f t="shared" si="3"/>
        <v>8522</v>
      </c>
      <c r="L57" s="9">
        <f t="shared" si="3"/>
        <v>9653</v>
      </c>
      <c r="M57" s="10">
        <f t="shared" si="3"/>
        <v>450</v>
      </c>
    </row>
    <row r="58" spans="1:13" ht="15" x14ac:dyDescent="0.3">
      <c r="B58" s="11" t="s">
        <v>9</v>
      </c>
      <c r="J58" s="15">
        <f>J57/$L$57</f>
        <v>0.11716564798508236</v>
      </c>
      <c r="K58" s="13">
        <f>K57/$L$57</f>
        <v>0.88283435201491767</v>
      </c>
      <c r="L58" s="14">
        <f>SUM(J58:K58)</f>
        <v>1</v>
      </c>
    </row>
  </sheetData>
  <sheetProtection insertRows="0"/>
  <conditionalFormatting sqref="G55:H56 G2:H30">
    <cfRule type="expression" dxfId="3" priority="92">
      <formula>G2&lt;F2</formula>
    </cfRule>
  </conditionalFormatting>
  <conditionalFormatting sqref="G31:H50 G52:H53">
    <cfRule type="expression" dxfId="2" priority="90">
      <formula>G31&lt;F31</formula>
    </cfRule>
  </conditionalFormatting>
  <conditionalFormatting sqref="G51:H51">
    <cfRule type="expression" dxfId="1" priority="89">
      <formula>G51&lt;F51</formula>
    </cfRule>
  </conditionalFormatting>
  <conditionalFormatting sqref="G54:H54">
    <cfRule type="expression" dxfId="0" priority="2">
      <formula>G54&lt;F54</formula>
    </cfRule>
  </conditionalFormatting>
  <pageMargins left="0.19685039370078741" right="0.19685039370078741" top="0.51181102362204722" bottom="0.51181102362204722" header="0.31496062992125984" footer="0.31496062992125984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სამუშაო ფურცლები</vt:lpstr>
      </vt:variant>
      <vt:variant>
        <vt:i4>1</vt:i4>
      </vt:variant>
      <vt:variant>
        <vt:lpstr>დასათაურებული დიაპაზონები</vt:lpstr>
      </vt:variant>
      <vt:variant>
        <vt:i4>1</vt:i4>
      </vt:variant>
    </vt:vector>
  </HeadingPairs>
  <TitlesOfParts>
    <vt:vector size="2" baseType="lpstr">
      <vt:lpstr>მაჟორიტარული</vt:lpstr>
      <vt:lpstr>მაჟორიტარული!ამოსაბეჭდი_წარწერები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2020-11-21T20:19:22Z</cp:lastPrinted>
  <dcterms:created xsi:type="dcterms:W3CDTF">2014-07-31T10:11:31Z</dcterms:created>
  <dcterms:modified xsi:type="dcterms:W3CDTF">2021-04-12T20:06:21Z</dcterms:modified>
</cp:coreProperties>
</file>