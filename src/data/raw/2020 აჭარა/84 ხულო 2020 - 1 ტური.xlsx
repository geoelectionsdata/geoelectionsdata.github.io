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G:\My Drive\Election portal data sets\Election results\შედეგები\"/>
    </mc:Choice>
  </mc:AlternateContent>
  <xr:revisionPtr revIDLastSave="0" documentId="13_ncr:1_{31F4711F-753B-4987-9E22-C60D9F7CA01A}" xr6:coauthVersionLast="46" xr6:coauthVersionMax="46" xr10:uidLastSave="{00000000-0000-0000-0000-000000000000}"/>
  <bookViews>
    <workbookView xWindow="-108" yWindow="-108" windowWidth="23256" windowHeight="12576" activeTab="2" xr2:uid="{00000000-000D-0000-FFFF-FFFF00000000}"/>
  </bookViews>
  <sheets>
    <sheet name="პროპორციული" sheetId="14" r:id="rId1"/>
    <sheet name="მაჟ.  აჭარა" sheetId="12" r:id="rId2"/>
    <sheet name="პროპ. აჭარა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56" i="11" l="1"/>
  <c r="AD55" i="11"/>
  <c r="AD54" i="11"/>
  <c r="AD53" i="11"/>
  <c r="AD52" i="11"/>
  <c r="AD51" i="11"/>
  <c r="AD50" i="11"/>
  <c r="AD49" i="11"/>
  <c r="AD48" i="11"/>
  <c r="AD47" i="11"/>
  <c r="AD46" i="11"/>
  <c r="AD45" i="11"/>
  <c r="AD44" i="11"/>
  <c r="AD43" i="11"/>
  <c r="AD42" i="11"/>
  <c r="AD41" i="11"/>
  <c r="AD40" i="11"/>
  <c r="AD39" i="11"/>
  <c r="AD38" i="11"/>
  <c r="AD37" i="11"/>
  <c r="AD36" i="11"/>
  <c r="AD35" i="11"/>
  <c r="AD34" i="11"/>
  <c r="AD33" i="11"/>
  <c r="AD32" i="11"/>
  <c r="AD31" i="11"/>
  <c r="AD30" i="11"/>
  <c r="AD29" i="11"/>
  <c r="AD28" i="11"/>
  <c r="AD27" i="11"/>
  <c r="AD26" i="11"/>
  <c r="AD25" i="11"/>
  <c r="AD24" i="11"/>
  <c r="AD23" i="11"/>
  <c r="AD22" i="11"/>
  <c r="AD21" i="11"/>
  <c r="AD20" i="11"/>
  <c r="AD19" i="11"/>
  <c r="AD18" i="11"/>
  <c r="AD17" i="11"/>
  <c r="AD16" i="11"/>
  <c r="AD15" i="11"/>
  <c r="AD14" i="11"/>
  <c r="AD13" i="11"/>
  <c r="AD12" i="11"/>
  <c r="AD11" i="11"/>
  <c r="AD10" i="11"/>
  <c r="AD9" i="11"/>
  <c r="AD8" i="11"/>
  <c r="AD7" i="11"/>
  <c r="AD6" i="11"/>
  <c r="AD5" i="11"/>
  <c r="AD4" i="11"/>
  <c r="AD3" i="11"/>
  <c r="AD2" i="11"/>
  <c r="V56" i="12"/>
  <c r="V55" i="12"/>
  <c r="V54" i="12"/>
  <c r="V53" i="12"/>
  <c r="V52" i="12"/>
  <c r="V51" i="12"/>
  <c r="V50" i="12"/>
  <c r="V49" i="12"/>
  <c r="V48" i="12"/>
  <c r="V47" i="12"/>
  <c r="V46" i="12"/>
  <c r="V45" i="12"/>
  <c r="V44" i="12"/>
  <c r="V43" i="12"/>
  <c r="V42" i="12"/>
  <c r="V41" i="12"/>
  <c r="V40" i="12"/>
  <c r="V39" i="12"/>
  <c r="V38" i="12"/>
  <c r="V37" i="12"/>
  <c r="V36" i="12"/>
  <c r="V35" i="12"/>
  <c r="V34" i="12"/>
  <c r="V33" i="12"/>
  <c r="V32" i="12"/>
  <c r="V31" i="12"/>
  <c r="V30" i="12"/>
  <c r="V29" i="12"/>
  <c r="V28" i="12"/>
  <c r="V27" i="12"/>
  <c r="V26" i="12"/>
  <c r="V25" i="12"/>
  <c r="V24" i="12"/>
  <c r="V23" i="12"/>
  <c r="V22" i="12"/>
  <c r="V21" i="12"/>
  <c r="V20" i="12"/>
  <c r="V19" i="12"/>
  <c r="V18" i="12"/>
  <c r="V17" i="12"/>
  <c r="V16" i="12"/>
  <c r="V15" i="12"/>
  <c r="V14" i="12"/>
  <c r="V13" i="12"/>
  <c r="V12" i="12"/>
  <c r="V11" i="12"/>
  <c r="V10" i="12"/>
  <c r="V9" i="12"/>
  <c r="V8" i="12"/>
  <c r="V7" i="12"/>
  <c r="V6" i="12"/>
  <c r="V5" i="12"/>
  <c r="V4" i="12"/>
  <c r="V3" i="12"/>
  <c r="V2" i="12"/>
  <c r="BI58" i="14"/>
  <c r="BG58" i="14"/>
  <c r="BF58" i="14"/>
  <c r="BE58" i="14"/>
  <c r="BD58" i="14"/>
  <c r="BC58" i="14"/>
  <c r="BB58" i="14"/>
  <c r="BA58" i="14"/>
  <c r="AZ58" i="14"/>
  <c r="AY58" i="14"/>
  <c r="AX58" i="14"/>
  <c r="AW58" i="14"/>
  <c r="AV58" i="14"/>
  <c r="AU58" i="14"/>
  <c r="AT58" i="14"/>
  <c r="AS58" i="14"/>
  <c r="AR58" i="14"/>
  <c r="AQ58" i="14"/>
  <c r="AP58" i="14"/>
  <c r="AO58" i="14"/>
  <c r="AN58" i="14"/>
  <c r="AM58" i="14"/>
  <c r="AL58" i="14"/>
  <c r="AK58" i="14"/>
  <c r="AJ58" i="14"/>
  <c r="AI58" i="14"/>
  <c r="AH58" i="14"/>
  <c r="AG58" i="14"/>
  <c r="AF58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H58" i="14"/>
  <c r="G58" i="14"/>
  <c r="F58" i="14"/>
  <c r="E58" i="14"/>
  <c r="D58" i="14"/>
  <c r="C58" i="14"/>
  <c r="B58" i="14"/>
  <c r="A58" i="14"/>
  <c r="BH57" i="14"/>
  <c r="BJ57" i="14" s="1"/>
  <c r="I57" i="14"/>
  <c r="BH56" i="14"/>
  <c r="BJ56" i="14" s="1"/>
  <c r="I56" i="14"/>
  <c r="BH55" i="14"/>
  <c r="BJ55" i="14" s="1"/>
  <c r="I55" i="14"/>
  <c r="BH54" i="14"/>
  <c r="BJ54" i="14" s="1"/>
  <c r="I54" i="14"/>
  <c r="BH53" i="14"/>
  <c r="BJ53" i="14" s="1"/>
  <c r="I53" i="14"/>
  <c r="BH52" i="14"/>
  <c r="BJ52" i="14" s="1"/>
  <c r="I52" i="14"/>
  <c r="BH51" i="14"/>
  <c r="BJ51" i="14" s="1"/>
  <c r="I51" i="14"/>
  <c r="BH50" i="14"/>
  <c r="BJ50" i="14" s="1"/>
  <c r="I50" i="14"/>
  <c r="BH49" i="14"/>
  <c r="BJ49" i="14" s="1"/>
  <c r="I49" i="14"/>
  <c r="BH48" i="14"/>
  <c r="BJ48" i="14" s="1"/>
  <c r="I48" i="14"/>
  <c r="BH47" i="14"/>
  <c r="BJ47" i="14" s="1"/>
  <c r="I47" i="14"/>
  <c r="BH46" i="14"/>
  <c r="BJ46" i="14" s="1"/>
  <c r="I46" i="14"/>
  <c r="BH45" i="14"/>
  <c r="BJ45" i="14" s="1"/>
  <c r="I45" i="14"/>
  <c r="BH44" i="14"/>
  <c r="BJ44" i="14" s="1"/>
  <c r="I44" i="14"/>
  <c r="BH43" i="14"/>
  <c r="BJ43" i="14" s="1"/>
  <c r="I43" i="14"/>
  <c r="BH42" i="14"/>
  <c r="BJ42" i="14" s="1"/>
  <c r="I42" i="14"/>
  <c r="BH41" i="14"/>
  <c r="BJ41" i="14" s="1"/>
  <c r="I41" i="14"/>
  <c r="BH40" i="14"/>
  <c r="BJ40" i="14" s="1"/>
  <c r="I40" i="14"/>
  <c r="BH39" i="14"/>
  <c r="BJ39" i="14" s="1"/>
  <c r="I39" i="14"/>
  <c r="BJ38" i="14"/>
  <c r="BH38" i="14"/>
  <c r="I38" i="14"/>
  <c r="BH37" i="14"/>
  <c r="BJ37" i="14" s="1"/>
  <c r="I37" i="14"/>
  <c r="BH36" i="14"/>
  <c r="BJ36" i="14" s="1"/>
  <c r="I36" i="14"/>
  <c r="BH35" i="14"/>
  <c r="BJ35" i="14" s="1"/>
  <c r="I35" i="14"/>
  <c r="BH34" i="14"/>
  <c r="BJ34" i="14" s="1"/>
  <c r="I34" i="14"/>
  <c r="BH33" i="14"/>
  <c r="BJ33" i="14" s="1"/>
  <c r="I33" i="14"/>
  <c r="BH32" i="14"/>
  <c r="BJ32" i="14" s="1"/>
  <c r="I32" i="14"/>
  <c r="BH31" i="14"/>
  <c r="BJ31" i="14" s="1"/>
  <c r="I31" i="14"/>
  <c r="BH30" i="14"/>
  <c r="BJ30" i="14" s="1"/>
  <c r="I30" i="14"/>
  <c r="BH29" i="14"/>
  <c r="BJ29" i="14" s="1"/>
  <c r="I29" i="14"/>
  <c r="BH28" i="14"/>
  <c r="BJ28" i="14" s="1"/>
  <c r="I28" i="14"/>
  <c r="BH27" i="14"/>
  <c r="BJ27" i="14" s="1"/>
  <c r="I27" i="14"/>
  <c r="BH26" i="14"/>
  <c r="BJ26" i="14" s="1"/>
  <c r="I26" i="14"/>
  <c r="BH25" i="14"/>
  <c r="BJ25" i="14" s="1"/>
  <c r="I25" i="14"/>
  <c r="BH24" i="14"/>
  <c r="BJ24" i="14" s="1"/>
  <c r="I24" i="14"/>
  <c r="BH23" i="14"/>
  <c r="BJ23" i="14" s="1"/>
  <c r="I23" i="14"/>
  <c r="BJ22" i="14"/>
  <c r="BH22" i="14"/>
  <c r="I22" i="14"/>
  <c r="BH21" i="14"/>
  <c r="BJ21" i="14" s="1"/>
  <c r="I21" i="14"/>
  <c r="BH20" i="14"/>
  <c r="BJ20" i="14" s="1"/>
  <c r="I20" i="14"/>
  <c r="BH19" i="14"/>
  <c r="BJ19" i="14" s="1"/>
  <c r="I19" i="14"/>
  <c r="BJ18" i="14"/>
  <c r="BH18" i="14"/>
  <c r="I18" i="14"/>
  <c r="BH17" i="14"/>
  <c r="BJ17" i="14" s="1"/>
  <c r="I17" i="14"/>
  <c r="BH16" i="14"/>
  <c r="BJ16" i="14" s="1"/>
  <c r="I16" i="14"/>
  <c r="BH15" i="14"/>
  <c r="BJ15" i="14" s="1"/>
  <c r="I15" i="14"/>
  <c r="BH14" i="14"/>
  <c r="BJ14" i="14" s="1"/>
  <c r="I14" i="14"/>
  <c r="BH13" i="14"/>
  <c r="BJ13" i="14" s="1"/>
  <c r="I13" i="14"/>
  <c r="BH12" i="14"/>
  <c r="BJ12" i="14" s="1"/>
  <c r="I12" i="14"/>
  <c r="BH11" i="14"/>
  <c r="BJ11" i="14" s="1"/>
  <c r="I11" i="14"/>
  <c r="BH10" i="14"/>
  <c r="BJ10" i="14" s="1"/>
  <c r="I10" i="14"/>
  <c r="BH9" i="14"/>
  <c r="BJ9" i="14" s="1"/>
  <c r="I9" i="14"/>
  <c r="BH8" i="14"/>
  <c r="BJ8" i="14" s="1"/>
  <c r="I8" i="14"/>
  <c r="BH7" i="14"/>
  <c r="BJ7" i="14" s="1"/>
  <c r="I7" i="14"/>
  <c r="BH6" i="14"/>
  <c r="BJ6" i="14" s="1"/>
  <c r="I6" i="14"/>
  <c r="BH5" i="14"/>
  <c r="BJ5" i="14" s="1"/>
  <c r="I5" i="14"/>
  <c r="BH4" i="14"/>
  <c r="BJ4" i="14" s="1"/>
  <c r="I4" i="14"/>
  <c r="BH3" i="14"/>
  <c r="I3" i="14"/>
  <c r="I58" i="14" l="1"/>
  <c r="BH58" i="14"/>
  <c r="L59" i="14" s="1"/>
  <c r="BJ3" i="14"/>
  <c r="BJ58" i="14" s="1"/>
  <c r="AM59" i="14"/>
  <c r="AY59" i="14"/>
  <c r="S59" i="14" l="1"/>
  <c r="AI59" i="14"/>
  <c r="BC59" i="14"/>
  <c r="W59" i="14"/>
  <c r="BG59" i="14"/>
  <c r="AQ59" i="14"/>
  <c r="AA59" i="14"/>
  <c r="K59" i="14"/>
  <c r="AT59" i="14"/>
  <c r="AD59" i="14"/>
  <c r="N59" i="14"/>
  <c r="AW59" i="14"/>
  <c r="AG59" i="14"/>
  <c r="Q59" i="14"/>
  <c r="BD59" i="14"/>
  <c r="AN59" i="14"/>
  <c r="X59" i="14"/>
  <c r="BF59" i="14"/>
  <c r="AP59" i="14"/>
  <c r="Z59" i="14"/>
  <c r="J59" i="14"/>
  <c r="BH59" i="14" s="1"/>
  <c r="AS59" i="14"/>
  <c r="AC59" i="14"/>
  <c r="M59" i="14"/>
  <c r="AZ59" i="14"/>
  <c r="AJ59" i="14"/>
  <c r="T59" i="14"/>
  <c r="BB59" i="14"/>
  <c r="AL59" i="14"/>
  <c r="V59" i="14"/>
  <c r="BE59" i="14"/>
  <c r="AO59" i="14"/>
  <c r="Y59" i="14"/>
  <c r="AV59" i="14"/>
  <c r="AF59" i="14"/>
  <c r="P59" i="14"/>
  <c r="AU59" i="14"/>
  <c r="AE59" i="14"/>
  <c r="O59" i="14"/>
  <c r="AX59" i="14"/>
  <c r="AH59" i="14"/>
  <c r="R59" i="14"/>
  <c r="BA59" i="14"/>
  <c r="AK59" i="14"/>
  <c r="U59" i="14"/>
  <c r="AR59" i="14"/>
  <c r="AB59" i="14"/>
</calcChain>
</file>

<file path=xl/sharedStrings.xml><?xml version="1.0" encoding="utf-8"?>
<sst xmlns="http://schemas.openxmlformats.org/spreadsheetml/2006/main" count="282" uniqueCount="154">
  <si>
    <t>უბანი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</si>
  <si>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</si>
  <si>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</si>
  <si>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აქტივობა 12 სთ.</t>
  </si>
  <si>
    <t>აქტივობა 17 სთ.</t>
  </si>
  <si>
    <t>მონაწილე</t>
  </si>
  <si>
    <t>ბათილი ბიულეტენები</t>
  </si>
  <si>
    <t>ნამდვილი ბიულეტენები</t>
  </si>
  <si>
    <t>პარტიის/ბლოკის რიგითი ნომერი</t>
  </si>
  <si>
    <t>მიღებული ბიულეტენები (მიღება-ჩაბარების აქტით)</t>
  </si>
  <si>
    <t xml:space="preserve">მიღებული ბიულეტენები </t>
  </si>
  <si>
    <t>მიღებული ბიულეტენების კონტროლი</t>
  </si>
  <si>
    <t xml:space="preserve">30.84.01 </t>
  </si>
  <si>
    <t xml:space="preserve">30.84.02 </t>
  </si>
  <si>
    <t xml:space="preserve">30.84.03 </t>
  </si>
  <si>
    <t xml:space="preserve">30.84.04 </t>
  </si>
  <si>
    <t xml:space="preserve">30.84.05 </t>
  </si>
  <si>
    <t xml:space="preserve">30.84.06 </t>
  </si>
  <si>
    <t xml:space="preserve">30.84.07 </t>
  </si>
  <si>
    <t xml:space="preserve">30.84.08 </t>
  </si>
  <si>
    <t xml:space="preserve">30.84.09 </t>
  </si>
  <si>
    <t xml:space="preserve">30.84.10 </t>
  </si>
  <si>
    <t xml:space="preserve">30.84.11 </t>
  </si>
  <si>
    <t xml:space="preserve">30.84.12 </t>
  </si>
  <si>
    <t xml:space="preserve">30.84.13 </t>
  </si>
  <si>
    <t xml:space="preserve">30.84.14 </t>
  </si>
  <si>
    <t xml:space="preserve">30.84.15 </t>
  </si>
  <si>
    <t xml:space="preserve">30.84.16 </t>
  </si>
  <si>
    <t xml:space="preserve">30.84.17 </t>
  </si>
  <si>
    <t xml:space="preserve">30.84.18 </t>
  </si>
  <si>
    <t xml:space="preserve">30.84.19 </t>
  </si>
  <si>
    <t xml:space="preserve">30.84.20 </t>
  </si>
  <si>
    <t xml:space="preserve">30.84.21 </t>
  </si>
  <si>
    <t xml:space="preserve">30.84.22 </t>
  </si>
  <si>
    <t xml:space="preserve">30.84.23 </t>
  </si>
  <si>
    <t xml:space="preserve">30.84.24 </t>
  </si>
  <si>
    <t xml:space="preserve">30.84.25 </t>
  </si>
  <si>
    <t xml:space="preserve">30.84.26 </t>
  </si>
  <si>
    <t xml:space="preserve">30.84.27 </t>
  </si>
  <si>
    <t xml:space="preserve">30.84.28 </t>
  </si>
  <si>
    <t xml:space="preserve">30.84.29 </t>
  </si>
  <si>
    <t xml:space="preserve">30.84.30 </t>
  </si>
  <si>
    <t xml:space="preserve">30.84.31 </t>
  </si>
  <si>
    <t xml:space="preserve">30.84.32 </t>
  </si>
  <si>
    <t xml:space="preserve">30.84.33 </t>
  </si>
  <si>
    <t xml:space="preserve">30.84.34 </t>
  </si>
  <si>
    <t xml:space="preserve">30.84.35 </t>
  </si>
  <si>
    <t xml:space="preserve">30.84.36 </t>
  </si>
  <si>
    <t xml:space="preserve">30.84.37 </t>
  </si>
  <si>
    <t xml:space="preserve">30.84.38 </t>
  </si>
  <si>
    <t xml:space="preserve">30.84.39 </t>
  </si>
  <si>
    <t xml:space="preserve">30.84.40 </t>
  </si>
  <si>
    <t xml:space="preserve">30.84.41 </t>
  </si>
  <si>
    <t xml:space="preserve">30.84.42 </t>
  </si>
  <si>
    <t xml:space="preserve">30.84.43 </t>
  </si>
  <si>
    <t xml:space="preserve">30.84.44 </t>
  </si>
  <si>
    <t xml:space="preserve">30.84.45 </t>
  </si>
  <si>
    <t xml:space="preserve">30.84.46 </t>
  </si>
  <si>
    <t xml:space="preserve">30.84.47 </t>
  </si>
  <si>
    <t xml:space="preserve">30.84.48 </t>
  </si>
  <si>
    <t xml:space="preserve">30.84.49 </t>
  </si>
  <si>
    <t xml:space="preserve">30.84.50 </t>
  </si>
  <si>
    <t xml:space="preserve">30.84.51 </t>
  </si>
  <si>
    <t xml:space="preserve">30.84.52 </t>
  </si>
  <si>
    <t>1 (პარტია) „თეთრები”</t>
  </si>
  <si>
    <t>2 „ბაქრაძე, უგულავა, ბოკერია - ევროპული საქართველო - მოძრაობა თავისუფლებისთვის“</t>
  </si>
  <si>
    <t>3 ნინო ბურჯანაძე-ერთიანი საქართველო-დემოკრატიული მოძრაობა</t>
  </si>
  <si>
    <t>4 „დავით ჭიჭინაძე ტრიბუნა - ქდმ”</t>
  </si>
  <si>
    <t>5 ბლოკი „ერთიანი ნაციონალური მოძრაობა-გაერთიანებული ოპოზიცია „ძალა ერთობაშია”</t>
  </si>
  <si>
    <t>6 „მომავალი საქართველო”</t>
  </si>
  <si>
    <t>7 „თამაზ მეჭიაური ერთიანი საქართველოსთვის“</t>
  </si>
  <si>
    <t>8 „დავით თარხან-მოურავი, ირმა ინაშვილი - საქართველოს პატრიოტთა ალიანსი”</t>
  </si>
  <si>
    <t>9 „გაჩეჩილაძე - მწვანეთა პარტია“</t>
  </si>
  <si>
    <t>10 „შალვა ნათელაშვილი-საქართველოს ლეიბორისტული პარტია“</t>
  </si>
  <si>
    <t>11 „მშრომელთა სოციალისტური პარტია“</t>
  </si>
  <si>
    <t>12 „მოძრაობა თავისუფალი საქართველოსთვის”</t>
  </si>
  <si>
    <t>13 „რეფორმერი“</t>
  </si>
  <si>
    <t>14 „ბეჟან გუნავა - ქართული არჩევანი“</t>
  </si>
  <si>
    <t>16 „ახალი ქრისტიან-დემოკრატები”</t>
  </si>
  <si>
    <t>17 „ირაკლი ოქრუაშვილი - გამარჯვებული საქართველო“</t>
  </si>
  <si>
    <t>18 „მრეწველობა გადაარჩენს საქართველოს“</t>
  </si>
  <si>
    <t>19 მოქალაქეთა პოლიტიკური გაერთიანება „ჩვენი საქართველო - სოლიდარობის ალიანსი“</t>
  </si>
  <si>
    <t>20 „საქართველო“</t>
  </si>
  <si>
    <t>21 „თავისუფალი საქართველო (კახა კუკავა, გიორგი წულაია)“</t>
  </si>
  <si>
    <t>23 „ახალი ძალა“</t>
  </si>
  <si>
    <t>24 „ალეკო ელისაშვილი-მოქალაქეები“</t>
  </si>
  <si>
    <t>25 „თავისუფალი დემოკრატები“</t>
  </si>
  <si>
    <t>26 ეკა ბესელია - პ.პ. „სამართლიანობისთვის“</t>
  </si>
  <si>
    <t>27 ბლოკი „გიორგი ვაშაძე-სტრატეგია აღმაშენებელი”</t>
  </si>
  <si>
    <t>28 „ქართული ფესვები”</t>
  </si>
  <si>
    <t>30 „შეცვალე საქართველო”</t>
  </si>
  <si>
    <t>31 თავისუფლება-ზვიად გამსახურდიას გზა</t>
  </si>
  <si>
    <t>32 „სახალხო პარტია“</t>
  </si>
  <si>
    <t>33 „ეროვნულ-დემოკრატიული პარტია (ედპ)“</t>
  </si>
  <si>
    <t>34 „სოციალური სამართლიანობისათვის“</t>
  </si>
  <si>
    <t>36 „გირჩი“</t>
  </si>
  <si>
    <t>41 ქართული ოცნება - დემოკრატიული საქართველო</t>
  </si>
  <si>
    <t>42 რეფორმატორები</t>
  </si>
  <si>
    <t>43 „ზვიადის გზა“ (ღმერთის, სიმართლისა და ქვეყნისათვის)</t>
  </si>
  <si>
    <t>44 „ლევან ჩაჩუა, გურამ ფალავანდიშვილი - ქართული იდეა“</t>
  </si>
  <si>
    <t>45 „ეროვნულ დემოკრატიული მოძრაობა“</t>
  </si>
  <si>
    <t>46 „გია ჟორჟოლიანი - სოციალ-დემოკრატები საქართველოს განვითარებისათვის“</t>
  </si>
  <si>
    <t>47 „ზვიად ძიძიგური - საქართველოს კონსერვატიული პარტია”</t>
  </si>
  <si>
    <t>48 „არჩევანი სამშობლოსათვის“</t>
  </si>
  <si>
    <t>49 „ჯონდო ბაღათურია - ქართული დასი”</t>
  </si>
  <si>
    <t>50 „პროგრესული საქართველო“</t>
  </si>
  <si>
    <t>51 „საქართველოს ძალოვან ვეტერანთა და პატრიოტთა პოლიტიკური მოძრაობა”</t>
  </si>
  <si>
    <t>52 „სერგო ჯავახიძე-ევროატლანტიკური ვექტორი“</t>
  </si>
  <si>
    <t>53 „ტრადიციონალისტები“</t>
  </si>
  <si>
    <t>54 „ანა რეხვიაშვილი - სახალხო მოძრაობა ქრისტიან-დემოკრატები“</t>
  </si>
  <si>
    <t>55 „ქართული მარში-ეროვნული მოძრაობა“</t>
  </si>
  <si>
    <t>56 „ლელო - მამუკა ხაზარაძე“</t>
  </si>
  <si>
    <t>57 მამულიშვილთა ორდენი „სამშობლო“</t>
  </si>
  <si>
    <t>60 „საქართველოს განვითარების პარტია“</t>
  </si>
  <si>
    <t>30.84.53</t>
  </si>
  <si>
    <t>30.84.54</t>
  </si>
  <si>
    <t>30.84.55</t>
  </si>
  <si>
    <t>2   ბაქრაძე, უგულავა, ბოკერია - ევროპული საქართველო - მოძრაობა თავისუფლებისთვის</t>
  </si>
  <si>
    <t>3   ნინო ბურჯანაძე-ერთიანი საქართველო-დემოკრატიული მოძრაობა</t>
  </si>
  <si>
    <t>4   დავით ჭიჭინაძე ტრიბუნა - ქდმ</t>
  </si>
  <si>
    <t>5    საარჩევნო ბლოკი ერთიანი ნაციონალური მოძრაობა-გაერთიანებული ოპოზიცია „ძალა ერთობაშია“</t>
  </si>
  <si>
    <t>8   დავით თარხან-მოურავი, ირმა ინაშვილი - საქართველოს პატრიოტთა ალიანსი</t>
  </si>
  <si>
    <t>10  შალვა ნათელაშვილი - საქართველოს ლეიბორისტული პარტია</t>
  </si>
  <si>
    <t>14  ბეჟან გუნავა - ქართული არჩევანი</t>
  </si>
  <si>
    <t>17  ირაკლი ოქრუაშვილი - გამარჯვებული საქართველო</t>
  </si>
  <si>
    <t>19  ჩვენი საქართველო - სოლიდარობის ალიანსი</t>
  </si>
  <si>
    <t>21  თავისუფალი საქართველო (კახა კუკავა, გიორგი წულაია)</t>
  </si>
  <si>
    <t>24  ალეკო ელისაშვილი-მოქალაქეები</t>
  </si>
  <si>
    <t>26  ეკა ბესელია - პ.პ. „სამართლიანობისთვის“</t>
  </si>
  <si>
    <t>27  გიორგი ვაშაძე - სტრატეგია აღმაშენებელი</t>
  </si>
  <si>
    <t>31  თავისუფლება-ზვიად გამსახურდიას გზა</t>
  </si>
  <si>
    <t>34  სოციალური სამართლიანობისათვის</t>
  </si>
  <si>
    <t>36  გირჩი</t>
  </si>
  <si>
    <t>41  ქართული ოცნება - დემოკრატიული საქართველო</t>
  </si>
  <si>
    <t>44  ქართული იდეა</t>
  </si>
  <si>
    <t>47  ზვიად ძიძიგური - საქართველოს კონსერვატიული პარტია</t>
  </si>
  <si>
    <t>55  ქართული მარში - ეროვნული მოძრაობა</t>
  </si>
  <si>
    <t>56  ლელო-მამუკა ხაზარაძე</t>
  </si>
  <si>
    <t>61  ბაგრატიონი - სახე+</t>
  </si>
  <si>
    <r>
      <t xml:space="preserve">კენჭიყრაში მონაწილეებს მინუს ნამდვილი და ბათილი  (ყუთიდან ამოსული) ბიულეტენების ჯამი
</t>
    </r>
    <r>
      <rPr>
        <b/>
        <i/>
        <sz val="8"/>
        <color theme="1"/>
        <rFont val="Sylfaen"/>
        <family val="1"/>
      </rPr>
      <t>კონტროლი</t>
    </r>
  </si>
  <si>
    <t>vote_2</t>
  </si>
  <si>
    <t>vote_4</t>
  </si>
  <si>
    <t>vote_5</t>
  </si>
  <si>
    <t>vote_8</t>
  </si>
  <si>
    <t>vote_10</t>
  </si>
  <si>
    <t>vote_14</t>
  </si>
  <si>
    <t>vote_17</t>
  </si>
  <si>
    <t>vote_19</t>
  </si>
  <si>
    <t>vote_21</t>
  </si>
  <si>
    <t>vote_27</t>
  </si>
  <si>
    <t>vote_41</t>
  </si>
  <si>
    <t>vote_55</t>
  </si>
  <si>
    <t>vote_56</t>
  </si>
  <si>
    <t>vote_61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</si>
</sst>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scheme val="minor"/>
    </font>
    <font>
      <b/>
      <sz val="9"/>
      <color theme="1"/>
      <name val="Sylfaen"/>
      <family val="1"/>
    </font>
    <font>
      <sz val="11"/>
      <color theme="1"/>
      <name val="Sylfaen"/>
      <family val="1"/>
    </font>
    <font>
      <b/>
      <sz val="7"/>
      <color theme="1"/>
      <name val="Sylfaen"/>
      <family val="1"/>
    </font>
    <font>
      <sz val="7"/>
      <color theme="1"/>
      <name val="Sylfaen"/>
      <family val="1"/>
    </font>
    <font>
      <sz val="7"/>
      <color theme="1"/>
      <name val="Sylfaen"/>
      <family val="2"/>
      <scheme val="minor"/>
    </font>
    <font>
      <b/>
      <sz val="8"/>
      <color theme="1"/>
      <name val="Sylfaen"/>
      <family val="1"/>
    </font>
    <font>
      <b/>
      <i/>
      <sz val="8"/>
      <color theme="1"/>
      <name val="Sylfaen"/>
      <family val="1"/>
    </font>
    <font>
      <sz val="8"/>
      <color theme="1"/>
      <name val="Sylfaen"/>
      <family val="1"/>
    </font>
    <font>
      <sz val="9"/>
      <color theme="1"/>
      <name val="Sylfae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7" fillId="2" borderId="1" xfId="0" applyFont="1" applyFill="1" applyBorder="1" applyAlignment="1" applyProtection="1">
      <alignment horizontal="center" vertical="center" textRotation="90" wrapText="1"/>
      <protection locked="0"/>
    </xf>
    <xf numFmtId="0" fontId="7" fillId="0" borderId="0" xfId="0" applyFont="1" applyProtection="1">
      <protection locked="0"/>
    </xf>
    <xf numFmtId="49" fontId="9" fillId="0" borderId="1" xfId="0" applyNumberFormat="1" applyFont="1" applyBorder="1"/>
    <xf numFmtId="3" fontId="9" fillId="0" borderId="1" xfId="0" applyNumberFormat="1" applyFont="1" applyBorder="1" applyProtection="1"/>
    <xf numFmtId="3" fontId="9" fillId="0" borderId="1" xfId="0" applyNumberFormat="1" applyFont="1" applyBorder="1" applyProtection="1">
      <protection locked="0"/>
    </xf>
    <xf numFmtId="0" fontId="7" fillId="0" borderId="1" xfId="0" applyFont="1" applyBorder="1" applyAlignment="1" applyProtection="1">
      <alignment horizontal="center"/>
    </xf>
    <xf numFmtId="3" fontId="7" fillId="0" borderId="1" xfId="0" applyNumberFormat="1" applyFont="1" applyBorder="1" applyProtection="1"/>
    <xf numFmtId="0" fontId="7" fillId="0" borderId="0" xfId="0" applyFont="1" applyProtection="1"/>
    <xf numFmtId="0" fontId="9" fillId="0" borderId="0" xfId="0" applyFont="1" applyAlignment="1" applyProtection="1">
      <alignment horizontal="center"/>
      <protection locked="0"/>
    </xf>
    <xf numFmtId="0" fontId="9" fillId="0" borderId="0" xfId="0" applyFont="1" applyProtection="1"/>
    <xf numFmtId="10" fontId="7" fillId="0" borderId="0" xfId="1" applyNumberFormat="1" applyFont="1" applyProtection="1">
      <protection locked="0"/>
    </xf>
    <xf numFmtId="9" fontId="7" fillId="0" borderId="0" xfId="1" applyFont="1" applyProtection="1"/>
    <xf numFmtId="49" fontId="10" fillId="3" borderId="1" xfId="0" applyNumberFormat="1" applyFont="1" applyFill="1" applyBorder="1"/>
    <xf numFmtId="3" fontId="5" fillId="3" borderId="1" xfId="0" applyNumberFormat="1" applyFont="1" applyFill="1" applyBorder="1" applyAlignment="1" applyProtection="1">
      <protection locked="0"/>
    </xf>
    <xf numFmtId="3" fontId="10" fillId="3" borderId="1" xfId="0" applyNumberFormat="1" applyFont="1" applyFill="1" applyBorder="1" applyProtection="1"/>
    <xf numFmtId="3" fontId="10" fillId="3" borderId="1" xfId="0" applyNumberFormat="1" applyFont="1" applyFill="1" applyBorder="1" applyProtection="1">
      <protection locked="0"/>
    </xf>
    <xf numFmtId="0" fontId="3" fillId="3" borderId="0" xfId="0" applyFont="1" applyFill="1" applyProtection="1">
      <protection locked="0"/>
    </xf>
    <xf numFmtId="0" fontId="3" fillId="4" borderId="0" xfId="0" applyFont="1" applyFill="1" applyProtection="1">
      <protection locked="0"/>
    </xf>
    <xf numFmtId="0" fontId="3" fillId="3" borderId="0" xfId="0" applyFont="1" applyFill="1" applyAlignment="1" applyProtection="1">
      <alignment horizontal="center"/>
      <protection locked="0"/>
    </xf>
    <xf numFmtId="0" fontId="3" fillId="3" borderId="0" xfId="0" applyFont="1" applyFill="1" applyProtection="1"/>
    <xf numFmtId="0" fontId="6" fillId="5" borderId="1" xfId="0" applyFont="1" applyFill="1" applyBorder="1" applyAlignment="1">
      <alignment textRotation="90"/>
    </xf>
    <xf numFmtId="49" fontId="10" fillId="5" borderId="1" xfId="0" applyNumberFormat="1" applyFont="1" applyFill="1" applyBorder="1"/>
    <xf numFmtId="3" fontId="5" fillId="5" borderId="1" xfId="0" applyNumberFormat="1" applyFont="1" applyFill="1" applyBorder="1" applyAlignment="1" applyProtection="1"/>
    <xf numFmtId="3" fontId="5" fillId="5" borderId="1" xfId="0" applyNumberFormat="1" applyFont="1" applyFill="1" applyBorder="1" applyAlignment="1" applyProtection="1">
      <protection locked="0"/>
    </xf>
    <xf numFmtId="3" fontId="5" fillId="5" borderId="4" xfId="0" applyNumberFormat="1" applyFont="1" applyFill="1" applyBorder="1" applyAlignment="1" applyProtection="1"/>
    <xf numFmtId="0" fontId="6" fillId="5" borderId="1" xfId="0" applyFont="1" applyFill="1" applyBorder="1"/>
    <xf numFmtId="0" fontId="6" fillId="5" borderId="0" xfId="0" applyFont="1" applyFill="1"/>
    <xf numFmtId="0" fontId="6" fillId="5" borderId="0" xfId="0" applyFont="1" applyFill="1" applyAlignment="1">
      <alignment textRotation="90"/>
    </xf>
    <xf numFmtId="0" fontId="0" fillId="0" borderId="0" xfId="0" applyFill="1"/>
    <xf numFmtId="0" fontId="3" fillId="0" borderId="0" xfId="0" applyFont="1" applyAlignment="1" applyProtection="1">
      <protection locked="0"/>
    </xf>
    <xf numFmtId="0" fontId="2" fillId="3" borderId="3" xfId="0" applyFont="1" applyFill="1" applyBorder="1" applyAlignment="1" applyProtection="1">
      <protection locked="0"/>
    </xf>
    <xf numFmtId="0" fontId="2" fillId="3" borderId="0" xfId="0" applyFont="1" applyFill="1" applyAlignment="1" applyProtection="1">
      <protection locked="0"/>
    </xf>
    <xf numFmtId="0" fontId="2" fillId="3" borderId="1" xfId="0" applyFont="1" applyFill="1" applyBorder="1" applyAlignment="1" applyProtection="1">
      <alignment vertical="center" textRotation="90"/>
      <protection locked="0"/>
    </xf>
    <xf numFmtId="0" fontId="2" fillId="3" borderId="2" xfId="0" applyFont="1" applyFill="1" applyBorder="1" applyAlignment="1" applyProtection="1">
      <alignment vertical="center" textRotation="90"/>
    </xf>
    <xf numFmtId="0" fontId="2" fillId="3" borderId="1" xfId="0" applyFont="1" applyFill="1" applyBorder="1" applyAlignment="1" applyProtection="1">
      <alignment vertical="center" textRotation="90"/>
    </xf>
    <xf numFmtId="0" fontId="2" fillId="5" borderId="1" xfId="0" applyFont="1" applyFill="1" applyBorder="1" applyAlignment="1" applyProtection="1">
      <alignment vertical="center" textRotation="90"/>
      <protection locked="0"/>
    </xf>
    <xf numFmtId="0" fontId="4" fillId="5" borderId="1" xfId="0" applyFont="1" applyFill="1" applyBorder="1" applyAlignment="1" applyProtection="1">
      <alignment vertical="center" textRotation="90"/>
    </xf>
    <xf numFmtId="0" fontId="4" fillId="5" borderId="1" xfId="0" applyFont="1" applyFill="1" applyBorder="1" applyAlignment="1" applyProtection="1">
      <alignment vertical="center" textRotation="90"/>
      <protection locked="0"/>
    </xf>
    <xf numFmtId="0" fontId="4" fillId="5" borderId="1" xfId="0" applyFont="1" applyFill="1" applyBorder="1" applyAlignment="1" applyProtection="1">
      <alignment vertical="center"/>
      <protection locked="0"/>
    </xf>
    <xf numFmtId="0" fontId="4" fillId="5" borderId="4" xfId="0" applyFont="1" applyFill="1" applyBorder="1" applyAlignment="1" applyProtection="1">
      <alignment vertical="center"/>
      <protection locked="0"/>
    </xf>
    <xf numFmtId="0" fontId="0" fillId="0" borderId="0" xfId="0" applyAlignment="1"/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 textRotation="90" wrapText="1"/>
      <protection locked="0"/>
    </xf>
    <xf numFmtId="0" fontId="7" fillId="2" borderId="1" xfId="0" applyFont="1" applyFill="1" applyBorder="1" applyAlignment="1" applyProtection="1">
      <alignment horizontal="center" vertical="center" textRotation="90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</xf>
    <xf numFmtId="0" fontId="7" fillId="3" borderId="2" xfId="0" applyFont="1" applyFill="1" applyBorder="1" applyAlignment="1" applyProtection="1">
      <alignment horizontal="center" vertical="center" textRotation="90" wrapText="1"/>
    </xf>
    <xf numFmtId="0" fontId="7" fillId="3" borderId="3" xfId="0" applyFont="1" applyFill="1" applyBorder="1" applyAlignment="1" applyProtection="1">
      <alignment horizontal="center" vertical="center" textRotation="90" wrapText="1"/>
    </xf>
  </cellXfs>
  <cellStyles count="2">
    <cellStyle name="პროცენტი" xfId="1" builtinId="5"/>
    <cellStyle name="ჩვეულებრივი" xfId="0" builtinId="0"/>
  </cellStyles>
  <dxfs count="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9"/>
  <sheetViews>
    <sheetView zoomScale="70" zoomScaleNormal="70" workbookViewId="0">
      <selection sqref="A1:A2"/>
    </sheetView>
  </sheetViews>
  <sheetFormatPr defaultColWidth="7.21875" defaultRowHeight="12" x14ac:dyDescent="0.3"/>
  <cols>
    <col min="1" max="1" width="7.21875" style="11"/>
    <col min="2" max="2" width="7.21875" style="12"/>
    <col min="3" max="3" width="7.21875" style="2"/>
    <col min="4" max="4" width="3.88671875" style="2" customWidth="1"/>
    <col min="5" max="5" width="4.6640625" style="2" customWidth="1"/>
    <col min="6" max="6" width="7.21875" style="2"/>
    <col min="7" max="7" width="7.21875" style="12"/>
    <col min="8" max="8" width="5.6640625" style="2" customWidth="1"/>
    <col min="9" max="9" width="5.109375" style="12" customWidth="1"/>
    <col min="10" max="40" width="6.77734375" style="2" customWidth="1"/>
    <col min="41" max="41" width="6.109375" style="2" customWidth="1"/>
    <col min="42" max="59" width="6.77734375" style="2" customWidth="1"/>
    <col min="60" max="60" width="7.21875" style="12"/>
    <col min="61" max="61" width="7.21875" style="2"/>
    <col min="62" max="62" width="4.6640625" style="12" customWidth="1"/>
    <col min="63" max="16384" width="7.21875" style="2"/>
  </cols>
  <sheetData>
    <row r="1" spans="1:62" ht="16.5" customHeight="1" x14ac:dyDescent="0.3">
      <c r="A1" s="44" t="s">
        <v>0</v>
      </c>
      <c r="B1" s="45" t="s">
        <v>1</v>
      </c>
      <c r="C1" s="44" t="s">
        <v>2</v>
      </c>
      <c r="D1" s="47" t="s">
        <v>3</v>
      </c>
      <c r="E1" s="47" t="s">
        <v>4</v>
      </c>
      <c r="F1" s="44" t="s">
        <v>5</v>
      </c>
      <c r="G1" s="48" t="s">
        <v>9</v>
      </c>
      <c r="H1" s="47" t="s">
        <v>10</v>
      </c>
      <c r="I1" s="49" t="s">
        <v>11</v>
      </c>
      <c r="J1" s="44" t="s">
        <v>8</v>
      </c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 t="s">
        <v>7</v>
      </c>
      <c r="BI1" s="44" t="s">
        <v>6</v>
      </c>
      <c r="BJ1" s="46" t="s">
        <v>139</v>
      </c>
    </row>
    <row r="2" spans="1:62" s="4" customFormat="1" ht="137.25" customHeight="1" x14ac:dyDescent="0.3">
      <c r="A2" s="44"/>
      <c r="B2" s="45"/>
      <c r="C2" s="44"/>
      <c r="D2" s="47"/>
      <c r="E2" s="47"/>
      <c r="F2" s="44"/>
      <c r="G2" s="48"/>
      <c r="H2" s="47"/>
      <c r="I2" s="50"/>
      <c r="J2" s="3" t="s">
        <v>64</v>
      </c>
      <c r="K2" s="3" t="s">
        <v>65</v>
      </c>
      <c r="L2" s="3" t="s">
        <v>66</v>
      </c>
      <c r="M2" s="3" t="s">
        <v>67</v>
      </c>
      <c r="N2" s="3" t="s">
        <v>68</v>
      </c>
      <c r="O2" s="3" t="s">
        <v>69</v>
      </c>
      <c r="P2" s="3" t="s">
        <v>70</v>
      </c>
      <c r="Q2" s="3" t="s">
        <v>71</v>
      </c>
      <c r="R2" s="3" t="s">
        <v>72</v>
      </c>
      <c r="S2" s="3" t="s">
        <v>73</v>
      </c>
      <c r="T2" s="3" t="s">
        <v>74</v>
      </c>
      <c r="U2" s="3" t="s">
        <v>75</v>
      </c>
      <c r="V2" s="3" t="s">
        <v>76</v>
      </c>
      <c r="W2" s="3" t="s">
        <v>77</v>
      </c>
      <c r="X2" s="3" t="s">
        <v>78</v>
      </c>
      <c r="Y2" s="3" t="s">
        <v>79</v>
      </c>
      <c r="Z2" s="3" t="s">
        <v>80</v>
      </c>
      <c r="AA2" s="3" t="s">
        <v>81</v>
      </c>
      <c r="AB2" s="3" t="s">
        <v>82</v>
      </c>
      <c r="AC2" s="3" t="s">
        <v>83</v>
      </c>
      <c r="AD2" s="3" t="s">
        <v>84</v>
      </c>
      <c r="AE2" s="3" t="s">
        <v>85</v>
      </c>
      <c r="AF2" s="3" t="s">
        <v>86</v>
      </c>
      <c r="AG2" s="3" t="s">
        <v>87</v>
      </c>
      <c r="AH2" s="3" t="s">
        <v>88</v>
      </c>
      <c r="AI2" s="3" t="s">
        <v>89</v>
      </c>
      <c r="AJ2" s="3" t="s">
        <v>90</v>
      </c>
      <c r="AK2" s="3" t="s">
        <v>91</v>
      </c>
      <c r="AL2" s="3" t="s">
        <v>92</v>
      </c>
      <c r="AM2" s="3" t="s">
        <v>93</v>
      </c>
      <c r="AN2" s="3" t="s">
        <v>94</v>
      </c>
      <c r="AO2" s="3" t="s">
        <v>95</v>
      </c>
      <c r="AP2" s="3" t="s">
        <v>96</v>
      </c>
      <c r="AQ2" s="3" t="s">
        <v>97</v>
      </c>
      <c r="AR2" s="3" t="s">
        <v>98</v>
      </c>
      <c r="AS2" s="3" t="s">
        <v>99</v>
      </c>
      <c r="AT2" s="3" t="s">
        <v>100</v>
      </c>
      <c r="AU2" s="3" t="s">
        <v>101</v>
      </c>
      <c r="AV2" s="3" t="s">
        <v>102</v>
      </c>
      <c r="AW2" s="3" t="s">
        <v>103</v>
      </c>
      <c r="AX2" s="3" t="s">
        <v>104</v>
      </c>
      <c r="AY2" s="3" t="s">
        <v>105</v>
      </c>
      <c r="AZ2" s="3" t="s">
        <v>106</v>
      </c>
      <c r="BA2" s="3" t="s">
        <v>107</v>
      </c>
      <c r="BB2" s="3" t="s">
        <v>108</v>
      </c>
      <c r="BC2" s="3" t="s">
        <v>109</v>
      </c>
      <c r="BD2" s="3" t="s">
        <v>110</v>
      </c>
      <c r="BE2" s="3" t="s">
        <v>111</v>
      </c>
      <c r="BF2" s="3" t="s">
        <v>112</v>
      </c>
      <c r="BG2" s="3" t="s">
        <v>113</v>
      </c>
      <c r="BH2" s="44"/>
      <c r="BI2" s="44"/>
      <c r="BJ2" s="46"/>
    </row>
    <row r="3" spans="1:62" x14ac:dyDescent="0.3">
      <c r="A3" s="5" t="s">
        <v>12</v>
      </c>
      <c r="B3" s="6">
        <v>926</v>
      </c>
      <c r="C3" s="6"/>
      <c r="D3" s="7"/>
      <c r="E3" s="7"/>
      <c r="F3" s="7"/>
      <c r="G3" s="6">
        <v>850</v>
      </c>
      <c r="H3" s="7"/>
      <c r="I3" s="6">
        <f t="shared" ref="I3:I57" si="0">G3-H3</f>
        <v>850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6">
        <f t="shared" ref="BH3:BH57" si="1">SUM(J3:BG3)</f>
        <v>0</v>
      </c>
      <c r="BI3" s="7"/>
      <c r="BJ3" s="6">
        <f t="shared" ref="BJ3:BJ57" si="2">F3-BH3-BI3</f>
        <v>0</v>
      </c>
    </row>
    <row r="4" spans="1:62" x14ac:dyDescent="0.3">
      <c r="A4" s="5" t="s">
        <v>13</v>
      </c>
      <c r="B4" s="6">
        <v>497</v>
      </c>
      <c r="C4" s="6"/>
      <c r="D4" s="7"/>
      <c r="E4" s="7"/>
      <c r="F4" s="7"/>
      <c r="G4" s="6">
        <v>500</v>
      </c>
      <c r="H4" s="7"/>
      <c r="I4" s="6">
        <f t="shared" si="0"/>
        <v>500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6">
        <f t="shared" si="1"/>
        <v>0</v>
      </c>
      <c r="BI4" s="7"/>
      <c r="BJ4" s="6">
        <f t="shared" si="2"/>
        <v>0</v>
      </c>
    </row>
    <row r="5" spans="1:62" x14ac:dyDescent="0.3">
      <c r="A5" s="5" t="s">
        <v>14</v>
      </c>
      <c r="B5" s="6">
        <v>370</v>
      </c>
      <c r="C5" s="6"/>
      <c r="D5" s="7"/>
      <c r="E5" s="7"/>
      <c r="F5" s="7"/>
      <c r="G5" s="6">
        <v>400</v>
      </c>
      <c r="H5" s="7"/>
      <c r="I5" s="6">
        <f t="shared" si="0"/>
        <v>400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6">
        <f t="shared" si="1"/>
        <v>0</v>
      </c>
      <c r="BI5" s="7"/>
      <c r="BJ5" s="6">
        <f t="shared" si="2"/>
        <v>0</v>
      </c>
    </row>
    <row r="6" spans="1:62" x14ac:dyDescent="0.3">
      <c r="A6" s="5" t="s">
        <v>15</v>
      </c>
      <c r="B6" s="6">
        <v>900</v>
      </c>
      <c r="C6" s="6"/>
      <c r="D6" s="7"/>
      <c r="E6" s="7"/>
      <c r="F6" s="7"/>
      <c r="G6" s="6">
        <v>850</v>
      </c>
      <c r="H6" s="7"/>
      <c r="I6" s="6">
        <f t="shared" si="0"/>
        <v>850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6">
        <f t="shared" si="1"/>
        <v>0</v>
      </c>
      <c r="BI6" s="7"/>
      <c r="BJ6" s="6">
        <f t="shared" si="2"/>
        <v>0</v>
      </c>
    </row>
    <row r="7" spans="1:62" x14ac:dyDescent="0.3">
      <c r="A7" s="5" t="s">
        <v>16</v>
      </c>
      <c r="B7" s="6">
        <v>554</v>
      </c>
      <c r="C7" s="6"/>
      <c r="D7" s="7"/>
      <c r="E7" s="7"/>
      <c r="F7" s="7"/>
      <c r="G7" s="6">
        <v>500</v>
      </c>
      <c r="H7" s="7"/>
      <c r="I7" s="6">
        <f t="shared" si="0"/>
        <v>500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6">
        <f t="shared" si="1"/>
        <v>0</v>
      </c>
      <c r="BI7" s="7"/>
      <c r="BJ7" s="6">
        <f t="shared" si="2"/>
        <v>0</v>
      </c>
    </row>
    <row r="8" spans="1:62" x14ac:dyDescent="0.3">
      <c r="A8" s="5" t="s">
        <v>17</v>
      </c>
      <c r="B8" s="6">
        <v>386</v>
      </c>
      <c r="C8" s="6"/>
      <c r="D8" s="7"/>
      <c r="E8" s="7"/>
      <c r="F8" s="7"/>
      <c r="G8" s="6">
        <v>400</v>
      </c>
      <c r="H8" s="7"/>
      <c r="I8" s="6">
        <f t="shared" si="0"/>
        <v>400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6">
        <f t="shared" si="1"/>
        <v>0</v>
      </c>
      <c r="BI8" s="7"/>
      <c r="BJ8" s="6">
        <f t="shared" si="2"/>
        <v>0</v>
      </c>
    </row>
    <row r="9" spans="1:62" x14ac:dyDescent="0.3">
      <c r="A9" s="5" t="s">
        <v>18</v>
      </c>
      <c r="B9" s="6">
        <v>616</v>
      </c>
      <c r="C9" s="6"/>
      <c r="D9" s="7"/>
      <c r="E9" s="7"/>
      <c r="F9" s="7"/>
      <c r="G9" s="6">
        <v>600</v>
      </c>
      <c r="H9" s="7"/>
      <c r="I9" s="6">
        <f t="shared" si="0"/>
        <v>600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6">
        <f t="shared" si="1"/>
        <v>0</v>
      </c>
      <c r="BI9" s="7"/>
      <c r="BJ9" s="6">
        <f t="shared" si="2"/>
        <v>0</v>
      </c>
    </row>
    <row r="10" spans="1:62" x14ac:dyDescent="0.3">
      <c r="A10" s="5" t="s">
        <v>19</v>
      </c>
      <c r="B10" s="6">
        <v>461</v>
      </c>
      <c r="C10" s="6"/>
      <c r="D10" s="7"/>
      <c r="E10" s="7"/>
      <c r="F10" s="7"/>
      <c r="G10" s="6">
        <v>500</v>
      </c>
      <c r="H10" s="7"/>
      <c r="I10" s="6">
        <f t="shared" si="0"/>
        <v>500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6">
        <f t="shared" si="1"/>
        <v>0</v>
      </c>
      <c r="BI10" s="7"/>
      <c r="BJ10" s="6">
        <f t="shared" si="2"/>
        <v>0</v>
      </c>
    </row>
    <row r="11" spans="1:62" x14ac:dyDescent="0.3">
      <c r="A11" s="5" t="s">
        <v>20</v>
      </c>
      <c r="B11" s="6">
        <v>696</v>
      </c>
      <c r="C11" s="6"/>
      <c r="D11" s="7"/>
      <c r="E11" s="7"/>
      <c r="F11" s="7"/>
      <c r="G11" s="6">
        <v>650</v>
      </c>
      <c r="H11" s="7"/>
      <c r="I11" s="6">
        <f t="shared" si="0"/>
        <v>650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6">
        <f t="shared" si="1"/>
        <v>0</v>
      </c>
      <c r="BI11" s="7"/>
      <c r="BJ11" s="6">
        <f t="shared" si="2"/>
        <v>0</v>
      </c>
    </row>
    <row r="12" spans="1:62" x14ac:dyDescent="0.3">
      <c r="A12" s="5" t="s">
        <v>21</v>
      </c>
      <c r="B12" s="6">
        <v>442</v>
      </c>
      <c r="C12" s="6"/>
      <c r="D12" s="7"/>
      <c r="E12" s="7"/>
      <c r="F12" s="7"/>
      <c r="G12" s="6">
        <v>450</v>
      </c>
      <c r="H12" s="7"/>
      <c r="I12" s="6">
        <f t="shared" si="0"/>
        <v>450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6">
        <f t="shared" si="1"/>
        <v>0</v>
      </c>
      <c r="BI12" s="7"/>
      <c r="BJ12" s="6">
        <f t="shared" si="2"/>
        <v>0</v>
      </c>
    </row>
    <row r="13" spans="1:62" x14ac:dyDescent="0.3">
      <c r="A13" s="5" t="s">
        <v>22</v>
      </c>
      <c r="B13" s="6">
        <v>651</v>
      </c>
      <c r="C13" s="6"/>
      <c r="D13" s="7"/>
      <c r="E13" s="7"/>
      <c r="F13" s="7"/>
      <c r="G13" s="6">
        <v>600</v>
      </c>
      <c r="H13" s="7"/>
      <c r="I13" s="6">
        <f t="shared" si="0"/>
        <v>600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6">
        <f t="shared" si="1"/>
        <v>0</v>
      </c>
      <c r="BI13" s="7"/>
      <c r="BJ13" s="6">
        <f t="shared" si="2"/>
        <v>0</v>
      </c>
    </row>
    <row r="14" spans="1:62" x14ac:dyDescent="0.3">
      <c r="A14" s="5" t="s">
        <v>23</v>
      </c>
      <c r="B14" s="6">
        <v>1000</v>
      </c>
      <c r="C14" s="6"/>
      <c r="D14" s="7"/>
      <c r="E14" s="7"/>
      <c r="F14" s="7"/>
      <c r="G14" s="6">
        <v>950</v>
      </c>
      <c r="H14" s="7"/>
      <c r="I14" s="6">
        <f t="shared" si="0"/>
        <v>950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6">
        <f t="shared" si="1"/>
        <v>0</v>
      </c>
      <c r="BI14" s="7"/>
      <c r="BJ14" s="6">
        <f t="shared" si="2"/>
        <v>0</v>
      </c>
    </row>
    <row r="15" spans="1:62" x14ac:dyDescent="0.3">
      <c r="A15" s="5" t="s">
        <v>24</v>
      </c>
      <c r="B15" s="6">
        <v>392</v>
      </c>
      <c r="C15" s="6"/>
      <c r="D15" s="7"/>
      <c r="E15" s="7"/>
      <c r="F15" s="7"/>
      <c r="G15" s="6">
        <v>400</v>
      </c>
      <c r="H15" s="7"/>
      <c r="I15" s="6">
        <f t="shared" si="0"/>
        <v>400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6">
        <f t="shared" si="1"/>
        <v>0</v>
      </c>
      <c r="BI15" s="7"/>
      <c r="BJ15" s="6">
        <f t="shared" si="2"/>
        <v>0</v>
      </c>
    </row>
    <row r="16" spans="1:62" x14ac:dyDescent="0.3">
      <c r="A16" s="5" t="s">
        <v>25</v>
      </c>
      <c r="B16" s="6">
        <v>557</v>
      </c>
      <c r="C16" s="6"/>
      <c r="D16" s="7"/>
      <c r="E16" s="7"/>
      <c r="F16" s="7"/>
      <c r="G16" s="6">
        <v>550</v>
      </c>
      <c r="H16" s="7"/>
      <c r="I16" s="6">
        <f t="shared" si="0"/>
        <v>550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6">
        <f t="shared" si="1"/>
        <v>0</v>
      </c>
      <c r="BI16" s="7"/>
      <c r="BJ16" s="6">
        <f t="shared" si="2"/>
        <v>0</v>
      </c>
    </row>
    <row r="17" spans="1:62" x14ac:dyDescent="0.3">
      <c r="A17" s="5" t="s">
        <v>26</v>
      </c>
      <c r="B17" s="6">
        <v>352</v>
      </c>
      <c r="C17" s="6"/>
      <c r="D17" s="7"/>
      <c r="E17" s="7"/>
      <c r="F17" s="7"/>
      <c r="G17" s="6">
        <v>350</v>
      </c>
      <c r="H17" s="7"/>
      <c r="I17" s="6">
        <f t="shared" si="0"/>
        <v>350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6">
        <f t="shared" si="1"/>
        <v>0</v>
      </c>
      <c r="BI17" s="7"/>
      <c r="BJ17" s="6">
        <f t="shared" si="2"/>
        <v>0</v>
      </c>
    </row>
    <row r="18" spans="1:62" x14ac:dyDescent="0.3">
      <c r="A18" s="5" t="s">
        <v>27</v>
      </c>
      <c r="B18" s="6">
        <v>353</v>
      </c>
      <c r="C18" s="6"/>
      <c r="D18" s="7"/>
      <c r="E18" s="7"/>
      <c r="F18" s="7"/>
      <c r="G18" s="6">
        <v>350</v>
      </c>
      <c r="H18" s="7"/>
      <c r="I18" s="6">
        <f t="shared" si="0"/>
        <v>350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6">
        <f t="shared" si="1"/>
        <v>0</v>
      </c>
      <c r="BI18" s="7"/>
      <c r="BJ18" s="6">
        <f t="shared" si="2"/>
        <v>0</v>
      </c>
    </row>
    <row r="19" spans="1:62" x14ac:dyDescent="0.3">
      <c r="A19" s="5" t="s">
        <v>28</v>
      </c>
      <c r="B19" s="6">
        <v>682</v>
      </c>
      <c r="C19" s="6"/>
      <c r="D19" s="7"/>
      <c r="E19" s="7"/>
      <c r="F19" s="7"/>
      <c r="G19" s="6">
        <v>650</v>
      </c>
      <c r="H19" s="7"/>
      <c r="I19" s="6">
        <f t="shared" si="0"/>
        <v>650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6">
        <f t="shared" si="1"/>
        <v>0</v>
      </c>
      <c r="BI19" s="7"/>
      <c r="BJ19" s="6">
        <f t="shared" si="2"/>
        <v>0</v>
      </c>
    </row>
    <row r="20" spans="1:62" x14ac:dyDescent="0.3">
      <c r="A20" s="5" t="s">
        <v>29</v>
      </c>
      <c r="B20" s="6">
        <v>1133</v>
      </c>
      <c r="C20" s="6"/>
      <c r="D20" s="7"/>
      <c r="E20" s="7"/>
      <c r="F20" s="7"/>
      <c r="G20" s="6">
        <v>1050</v>
      </c>
      <c r="H20" s="7"/>
      <c r="I20" s="6">
        <f t="shared" si="0"/>
        <v>1050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6">
        <f t="shared" si="1"/>
        <v>0</v>
      </c>
      <c r="BI20" s="7"/>
      <c r="BJ20" s="6">
        <f t="shared" si="2"/>
        <v>0</v>
      </c>
    </row>
    <row r="21" spans="1:62" x14ac:dyDescent="0.3">
      <c r="A21" s="5" t="s">
        <v>30</v>
      </c>
      <c r="B21" s="6">
        <v>751</v>
      </c>
      <c r="C21" s="6"/>
      <c r="D21" s="7"/>
      <c r="E21" s="7"/>
      <c r="F21" s="7"/>
      <c r="G21" s="6">
        <v>700</v>
      </c>
      <c r="H21" s="7"/>
      <c r="I21" s="6">
        <f t="shared" si="0"/>
        <v>700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6">
        <f t="shared" si="1"/>
        <v>0</v>
      </c>
      <c r="BI21" s="7"/>
      <c r="BJ21" s="6">
        <f t="shared" si="2"/>
        <v>0</v>
      </c>
    </row>
    <row r="22" spans="1:62" x14ac:dyDescent="0.3">
      <c r="A22" s="5" t="s">
        <v>31</v>
      </c>
      <c r="B22" s="6">
        <v>234</v>
      </c>
      <c r="C22" s="6"/>
      <c r="D22" s="7"/>
      <c r="E22" s="7"/>
      <c r="F22" s="7"/>
      <c r="G22" s="6">
        <v>250</v>
      </c>
      <c r="H22" s="7"/>
      <c r="I22" s="6">
        <f t="shared" si="0"/>
        <v>250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6">
        <f t="shared" si="1"/>
        <v>0</v>
      </c>
      <c r="BI22" s="7"/>
      <c r="BJ22" s="6">
        <f t="shared" si="2"/>
        <v>0</v>
      </c>
    </row>
    <row r="23" spans="1:62" x14ac:dyDescent="0.3">
      <c r="A23" s="5" t="s">
        <v>32</v>
      </c>
      <c r="B23" s="6">
        <v>308</v>
      </c>
      <c r="C23" s="6"/>
      <c r="D23" s="7"/>
      <c r="E23" s="7"/>
      <c r="F23" s="7"/>
      <c r="G23" s="6">
        <v>350</v>
      </c>
      <c r="H23" s="7"/>
      <c r="I23" s="6">
        <f t="shared" si="0"/>
        <v>350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6">
        <f t="shared" si="1"/>
        <v>0</v>
      </c>
      <c r="BI23" s="7"/>
      <c r="BJ23" s="6">
        <f t="shared" si="2"/>
        <v>0</v>
      </c>
    </row>
    <row r="24" spans="1:62" x14ac:dyDescent="0.3">
      <c r="A24" s="5" t="s">
        <v>33</v>
      </c>
      <c r="B24" s="6">
        <v>279</v>
      </c>
      <c r="C24" s="6"/>
      <c r="D24" s="7"/>
      <c r="E24" s="7"/>
      <c r="F24" s="7"/>
      <c r="G24" s="6">
        <v>300</v>
      </c>
      <c r="H24" s="7"/>
      <c r="I24" s="6">
        <f t="shared" si="0"/>
        <v>300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6">
        <f t="shared" si="1"/>
        <v>0</v>
      </c>
      <c r="BI24" s="7"/>
      <c r="BJ24" s="6">
        <f t="shared" si="2"/>
        <v>0</v>
      </c>
    </row>
    <row r="25" spans="1:62" x14ac:dyDescent="0.3">
      <c r="A25" s="5" t="s">
        <v>34</v>
      </c>
      <c r="B25" s="6">
        <v>769</v>
      </c>
      <c r="C25" s="6"/>
      <c r="D25" s="7"/>
      <c r="E25" s="7"/>
      <c r="F25" s="7"/>
      <c r="G25" s="6">
        <v>750</v>
      </c>
      <c r="H25" s="7"/>
      <c r="I25" s="6">
        <f t="shared" si="0"/>
        <v>750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6">
        <f t="shared" si="1"/>
        <v>0</v>
      </c>
      <c r="BI25" s="7"/>
      <c r="BJ25" s="6">
        <f t="shared" si="2"/>
        <v>0</v>
      </c>
    </row>
    <row r="26" spans="1:62" x14ac:dyDescent="0.3">
      <c r="A26" s="5" t="s">
        <v>35</v>
      </c>
      <c r="B26" s="6">
        <v>572</v>
      </c>
      <c r="C26" s="6"/>
      <c r="D26" s="7"/>
      <c r="E26" s="7"/>
      <c r="F26" s="7"/>
      <c r="G26" s="6">
        <v>550</v>
      </c>
      <c r="H26" s="7"/>
      <c r="I26" s="6">
        <f t="shared" si="0"/>
        <v>550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6">
        <f t="shared" si="1"/>
        <v>0</v>
      </c>
      <c r="BI26" s="7"/>
      <c r="BJ26" s="6">
        <f t="shared" si="2"/>
        <v>0</v>
      </c>
    </row>
    <row r="27" spans="1:62" x14ac:dyDescent="0.3">
      <c r="A27" s="5" t="s">
        <v>36</v>
      </c>
      <c r="B27" s="6">
        <v>425</v>
      </c>
      <c r="C27" s="6"/>
      <c r="D27" s="7"/>
      <c r="E27" s="7"/>
      <c r="F27" s="7"/>
      <c r="G27" s="6">
        <v>450</v>
      </c>
      <c r="H27" s="7"/>
      <c r="I27" s="6">
        <f t="shared" si="0"/>
        <v>450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6">
        <f t="shared" si="1"/>
        <v>0</v>
      </c>
      <c r="BI27" s="7"/>
      <c r="BJ27" s="6">
        <f t="shared" si="2"/>
        <v>0</v>
      </c>
    </row>
    <row r="28" spans="1:62" x14ac:dyDescent="0.3">
      <c r="A28" s="5" t="s">
        <v>37</v>
      </c>
      <c r="B28" s="6">
        <v>455</v>
      </c>
      <c r="C28" s="6"/>
      <c r="D28" s="7"/>
      <c r="E28" s="7"/>
      <c r="F28" s="7"/>
      <c r="G28" s="6">
        <v>450</v>
      </c>
      <c r="H28" s="7"/>
      <c r="I28" s="6">
        <f t="shared" si="0"/>
        <v>450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6">
        <f t="shared" si="1"/>
        <v>0</v>
      </c>
      <c r="BI28" s="7"/>
      <c r="BJ28" s="6">
        <f t="shared" si="2"/>
        <v>0</v>
      </c>
    </row>
    <row r="29" spans="1:62" x14ac:dyDescent="0.3">
      <c r="A29" s="5" t="s">
        <v>38</v>
      </c>
      <c r="B29" s="6">
        <v>418</v>
      </c>
      <c r="C29" s="6"/>
      <c r="D29" s="7"/>
      <c r="E29" s="7"/>
      <c r="F29" s="7"/>
      <c r="G29" s="6">
        <v>450</v>
      </c>
      <c r="H29" s="7"/>
      <c r="I29" s="6">
        <f t="shared" si="0"/>
        <v>450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6">
        <f t="shared" si="1"/>
        <v>0</v>
      </c>
      <c r="BI29" s="7"/>
      <c r="BJ29" s="6">
        <f t="shared" si="2"/>
        <v>0</v>
      </c>
    </row>
    <row r="30" spans="1:62" x14ac:dyDescent="0.3">
      <c r="A30" s="5" t="s">
        <v>39</v>
      </c>
      <c r="B30" s="6">
        <v>324</v>
      </c>
      <c r="C30" s="6"/>
      <c r="D30" s="7"/>
      <c r="E30" s="7"/>
      <c r="F30" s="7"/>
      <c r="G30" s="6">
        <v>350</v>
      </c>
      <c r="H30" s="7"/>
      <c r="I30" s="6">
        <f t="shared" si="0"/>
        <v>350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6">
        <f t="shared" si="1"/>
        <v>0</v>
      </c>
      <c r="BI30" s="7"/>
      <c r="BJ30" s="6">
        <f t="shared" si="2"/>
        <v>0</v>
      </c>
    </row>
    <row r="31" spans="1:62" x14ac:dyDescent="0.3">
      <c r="A31" s="5" t="s">
        <v>40</v>
      </c>
      <c r="B31" s="6">
        <v>266</v>
      </c>
      <c r="C31" s="6"/>
      <c r="D31" s="7"/>
      <c r="E31" s="7"/>
      <c r="F31" s="7"/>
      <c r="G31" s="6">
        <v>300</v>
      </c>
      <c r="H31" s="7"/>
      <c r="I31" s="6">
        <f t="shared" si="0"/>
        <v>300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6">
        <f t="shared" si="1"/>
        <v>0</v>
      </c>
      <c r="BI31" s="7"/>
      <c r="BJ31" s="6">
        <f t="shared" si="2"/>
        <v>0</v>
      </c>
    </row>
    <row r="32" spans="1:62" x14ac:dyDescent="0.3">
      <c r="A32" s="5" t="s">
        <v>41</v>
      </c>
      <c r="B32" s="6">
        <v>211</v>
      </c>
      <c r="C32" s="6"/>
      <c r="D32" s="7"/>
      <c r="E32" s="7"/>
      <c r="F32" s="7"/>
      <c r="G32" s="6">
        <v>250</v>
      </c>
      <c r="H32" s="7"/>
      <c r="I32" s="6">
        <f t="shared" si="0"/>
        <v>250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6">
        <f t="shared" si="1"/>
        <v>0</v>
      </c>
      <c r="BI32" s="7"/>
      <c r="BJ32" s="6">
        <f t="shared" si="2"/>
        <v>0</v>
      </c>
    </row>
    <row r="33" spans="1:62" x14ac:dyDescent="0.3">
      <c r="A33" s="5" t="s">
        <v>42</v>
      </c>
      <c r="B33" s="6">
        <v>554</v>
      </c>
      <c r="C33" s="6"/>
      <c r="D33" s="7"/>
      <c r="E33" s="7"/>
      <c r="F33" s="7"/>
      <c r="G33" s="6">
        <v>500</v>
      </c>
      <c r="H33" s="7"/>
      <c r="I33" s="6">
        <f t="shared" si="0"/>
        <v>500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6">
        <f t="shared" si="1"/>
        <v>0</v>
      </c>
      <c r="BI33" s="7"/>
      <c r="BJ33" s="6">
        <f t="shared" si="2"/>
        <v>0</v>
      </c>
    </row>
    <row r="34" spans="1:62" x14ac:dyDescent="0.3">
      <c r="A34" s="5" t="s">
        <v>43</v>
      </c>
      <c r="B34" s="6">
        <v>658</v>
      </c>
      <c r="C34" s="6"/>
      <c r="D34" s="7"/>
      <c r="E34" s="7"/>
      <c r="F34" s="7"/>
      <c r="G34" s="6">
        <v>600</v>
      </c>
      <c r="H34" s="7"/>
      <c r="I34" s="6">
        <f t="shared" si="0"/>
        <v>600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6">
        <f t="shared" si="1"/>
        <v>0</v>
      </c>
      <c r="BI34" s="7"/>
      <c r="BJ34" s="6">
        <f t="shared" si="2"/>
        <v>0</v>
      </c>
    </row>
    <row r="35" spans="1:62" x14ac:dyDescent="0.3">
      <c r="A35" s="5" t="s">
        <v>44</v>
      </c>
      <c r="B35" s="6">
        <v>341</v>
      </c>
      <c r="C35" s="6"/>
      <c r="D35" s="7"/>
      <c r="E35" s="7"/>
      <c r="F35" s="7"/>
      <c r="G35" s="6">
        <v>350</v>
      </c>
      <c r="H35" s="7"/>
      <c r="I35" s="6">
        <f t="shared" si="0"/>
        <v>350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6">
        <f t="shared" si="1"/>
        <v>0</v>
      </c>
      <c r="BI35" s="7"/>
      <c r="BJ35" s="6">
        <f t="shared" si="2"/>
        <v>0</v>
      </c>
    </row>
    <row r="36" spans="1:62" x14ac:dyDescent="0.3">
      <c r="A36" s="5" t="s">
        <v>45</v>
      </c>
      <c r="B36" s="6">
        <v>197</v>
      </c>
      <c r="C36" s="6"/>
      <c r="D36" s="7"/>
      <c r="E36" s="7"/>
      <c r="F36" s="7"/>
      <c r="G36" s="6">
        <v>200</v>
      </c>
      <c r="H36" s="7"/>
      <c r="I36" s="6">
        <f t="shared" si="0"/>
        <v>200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6">
        <f t="shared" si="1"/>
        <v>0</v>
      </c>
      <c r="BI36" s="7"/>
      <c r="BJ36" s="6">
        <f t="shared" si="2"/>
        <v>0</v>
      </c>
    </row>
    <row r="37" spans="1:62" x14ac:dyDescent="0.3">
      <c r="A37" s="5" t="s">
        <v>46</v>
      </c>
      <c r="B37" s="6">
        <v>255</v>
      </c>
      <c r="C37" s="6"/>
      <c r="D37" s="7"/>
      <c r="E37" s="7"/>
      <c r="F37" s="7"/>
      <c r="G37" s="6">
        <v>300</v>
      </c>
      <c r="H37" s="7"/>
      <c r="I37" s="6">
        <f t="shared" si="0"/>
        <v>300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6">
        <f t="shared" si="1"/>
        <v>0</v>
      </c>
      <c r="BI37" s="7"/>
      <c r="BJ37" s="6">
        <f t="shared" si="2"/>
        <v>0</v>
      </c>
    </row>
    <row r="38" spans="1:62" x14ac:dyDescent="0.3">
      <c r="A38" s="5" t="s">
        <v>47</v>
      </c>
      <c r="B38" s="6">
        <v>415</v>
      </c>
      <c r="C38" s="6"/>
      <c r="D38" s="7"/>
      <c r="E38" s="7"/>
      <c r="F38" s="7"/>
      <c r="G38" s="6">
        <v>450</v>
      </c>
      <c r="H38" s="7"/>
      <c r="I38" s="6">
        <f t="shared" si="0"/>
        <v>450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6">
        <f t="shared" si="1"/>
        <v>0</v>
      </c>
      <c r="BI38" s="7"/>
      <c r="BJ38" s="6">
        <f t="shared" si="2"/>
        <v>0</v>
      </c>
    </row>
    <row r="39" spans="1:62" x14ac:dyDescent="0.3">
      <c r="A39" s="5" t="s">
        <v>48</v>
      </c>
      <c r="B39" s="6">
        <v>411</v>
      </c>
      <c r="C39" s="6"/>
      <c r="D39" s="7"/>
      <c r="E39" s="7"/>
      <c r="F39" s="7"/>
      <c r="G39" s="6">
        <v>450</v>
      </c>
      <c r="H39" s="7"/>
      <c r="I39" s="6">
        <f t="shared" si="0"/>
        <v>450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6">
        <f t="shared" si="1"/>
        <v>0</v>
      </c>
      <c r="BI39" s="7"/>
      <c r="BJ39" s="6">
        <f t="shared" si="2"/>
        <v>0</v>
      </c>
    </row>
    <row r="40" spans="1:62" x14ac:dyDescent="0.3">
      <c r="A40" s="5" t="s">
        <v>49</v>
      </c>
      <c r="B40" s="6">
        <v>224</v>
      </c>
      <c r="C40" s="6"/>
      <c r="D40" s="7"/>
      <c r="E40" s="7"/>
      <c r="F40" s="7"/>
      <c r="G40" s="6">
        <v>250</v>
      </c>
      <c r="H40" s="7"/>
      <c r="I40" s="6">
        <f t="shared" si="0"/>
        <v>250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6">
        <f t="shared" si="1"/>
        <v>0</v>
      </c>
      <c r="BI40" s="7"/>
      <c r="BJ40" s="6">
        <f t="shared" si="2"/>
        <v>0</v>
      </c>
    </row>
    <row r="41" spans="1:62" x14ac:dyDescent="0.3">
      <c r="A41" s="5" t="s">
        <v>50</v>
      </c>
      <c r="B41" s="6">
        <v>455</v>
      </c>
      <c r="C41" s="6"/>
      <c r="D41" s="7"/>
      <c r="E41" s="7"/>
      <c r="F41" s="7"/>
      <c r="G41" s="6">
        <v>450</v>
      </c>
      <c r="H41" s="7"/>
      <c r="I41" s="6">
        <f t="shared" si="0"/>
        <v>450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6">
        <f t="shared" si="1"/>
        <v>0</v>
      </c>
      <c r="BI41" s="7"/>
      <c r="BJ41" s="6">
        <f t="shared" si="2"/>
        <v>0</v>
      </c>
    </row>
    <row r="42" spans="1:62" x14ac:dyDescent="0.3">
      <c r="A42" s="5" t="s">
        <v>51</v>
      </c>
      <c r="B42" s="6">
        <v>506</v>
      </c>
      <c r="C42" s="6"/>
      <c r="D42" s="7"/>
      <c r="E42" s="7"/>
      <c r="F42" s="7"/>
      <c r="G42" s="6">
        <v>500</v>
      </c>
      <c r="H42" s="7"/>
      <c r="I42" s="6">
        <f t="shared" si="0"/>
        <v>500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6">
        <f t="shared" si="1"/>
        <v>0</v>
      </c>
      <c r="BI42" s="7"/>
      <c r="BJ42" s="6">
        <f t="shared" si="2"/>
        <v>0</v>
      </c>
    </row>
    <row r="43" spans="1:62" x14ac:dyDescent="0.3">
      <c r="A43" s="5" t="s">
        <v>52</v>
      </c>
      <c r="B43" s="6">
        <v>564</v>
      </c>
      <c r="C43" s="6"/>
      <c r="D43" s="7"/>
      <c r="E43" s="7"/>
      <c r="F43" s="7"/>
      <c r="G43" s="6">
        <v>550</v>
      </c>
      <c r="H43" s="7"/>
      <c r="I43" s="6">
        <f t="shared" si="0"/>
        <v>550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6">
        <f t="shared" si="1"/>
        <v>0</v>
      </c>
      <c r="BI43" s="7"/>
      <c r="BJ43" s="6">
        <f t="shared" si="2"/>
        <v>0</v>
      </c>
    </row>
    <row r="44" spans="1:62" x14ac:dyDescent="0.3">
      <c r="A44" s="5" t="s">
        <v>53</v>
      </c>
      <c r="B44" s="6">
        <v>620</v>
      </c>
      <c r="C44" s="6"/>
      <c r="D44" s="7"/>
      <c r="E44" s="7"/>
      <c r="F44" s="7"/>
      <c r="G44" s="6">
        <v>550</v>
      </c>
      <c r="H44" s="7"/>
      <c r="I44" s="6">
        <f t="shared" si="0"/>
        <v>550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6">
        <f t="shared" si="1"/>
        <v>0</v>
      </c>
      <c r="BI44" s="7"/>
      <c r="BJ44" s="6">
        <f t="shared" si="2"/>
        <v>0</v>
      </c>
    </row>
    <row r="45" spans="1:62" x14ac:dyDescent="0.3">
      <c r="A45" s="5" t="s">
        <v>54</v>
      </c>
      <c r="B45" s="6">
        <v>176</v>
      </c>
      <c r="C45" s="6"/>
      <c r="D45" s="7"/>
      <c r="E45" s="7"/>
      <c r="F45" s="7"/>
      <c r="G45" s="6">
        <v>200</v>
      </c>
      <c r="H45" s="7"/>
      <c r="I45" s="6">
        <f t="shared" si="0"/>
        <v>200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6">
        <f t="shared" si="1"/>
        <v>0</v>
      </c>
      <c r="BI45" s="7"/>
      <c r="BJ45" s="6">
        <f t="shared" si="2"/>
        <v>0</v>
      </c>
    </row>
    <row r="46" spans="1:62" x14ac:dyDescent="0.3">
      <c r="A46" s="5" t="s">
        <v>55</v>
      </c>
      <c r="B46" s="6">
        <v>203</v>
      </c>
      <c r="C46" s="6"/>
      <c r="D46" s="7"/>
      <c r="E46" s="7"/>
      <c r="F46" s="7"/>
      <c r="G46" s="6">
        <v>200</v>
      </c>
      <c r="H46" s="7"/>
      <c r="I46" s="6">
        <f t="shared" si="0"/>
        <v>200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6">
        <f t="shared" si="1"/>
        <v>0</v>
      </c>
      <c r="BI46" s="7"/>
      <c r="BJ46" s="6">
        <f t="shared" si="2"/>
        <v>0</v>
      </c>
    </row>
    <row r="47" spans="1:62" x14ac:dyDescent="0.3">
      <c r="A47" s="5" t="s">
        <v>56</v>
      </c>
      <c r="B47" s="6">
        <v>301</v>
      </c>
      <c r="C47" s="6"/>
      <c r="D47" s="7"/>
      <c r="E47" s="7"/>
      <c r="F47" s="7"/>
      <c r="G47" s="6">
        <v>300</v>
      </c>
      <c r="H47" s="7"/>
      <c r="I47" s="6">
        <f t="shared" si="0"/>
        <v>300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6">
        <f t="shared" si="1"/>
        <v>0</v>
      </c>
      <c r="BI47" s="7"/>
      <c r="BJ47" s="6">
        <f t="shared" si="2"/>
        <v>0</v>
      </c>
    </row>
    <row r="48" spans="1:62" x14ac:dyDescent="0.3">
      <c r="A48" s="5" t="s">
        <v>57</v>
      </c>
      <c r="B48" s="6">
        <v>276</v>
      </c>
      <c r="C48" s="6"/>
      <c r="D48" s="7"/>
      <c r="E48" s="7"/>
      <c r="F48" s="7"/>
      <c r="G48" s="6">
        <v>300</v>
      </c>
      <c r="H48" s="7"/>
      <c r="I48" s="6">
        <f t="shared" si="0"/>
        <v>300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6">
        <f t="shared" si="1"/>
        <v>0</v>
      </c>
      <c r="BI48" s="7"/>
      <c r="BJ48" s="6">
        <f t="shared" si="2"/>
        <v>0</v>
      </c>
    </row>
    <row r="49" spans="1:62" x14ac:dyDescent="0.3">
      <c r="A49" s="5" t="s">
        <v>58</v>
      </c>
      <c r="B49" s="6">
        <v>137</v>
      </c>
      <c r="C49" s="6"/>
      <c r="D49" s="7"/>
      <c r="E49" s="7"/>
      <c r="F49" s="7"/>
      <c r="G49" s="6">
        <v>150</v>
      </c>
      <c r="H49" s="7"/>
      <c r="I49" s="6">
        <f t="shared" si="0"/>
        <v>150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6">
        <f t="shared" si="1"/>
        <v>0</v>
      </c>
      <c r="BI49" s="7"/>
      <c r="BJ49" s="6">
        <f t="shared" si="2"/>
        <v>0</v>
      </c>
    </row>
    <row r="50" spans="1:62" x14ac:dyDescent="0.3">
      <c r="A50" s="5" t="s">
        <v>59</v>
      </c>
      <c r="B50" s="6">
        <v>150</v>
      </c>
      <c r="C50" s="6"/>
      <c r="D50" s="7"/>
      <c r="E50" s="7"/>
      <c r="F50" s="7"/>
      <c r="G50" s="6">
        <v>150</v>
      </c>
      <c r="H50" s="7"/>
      <c r="I50" s="6">
        <f t="shared" si="0"/>
        <v>150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6">
        <f t="shared" si="1"/>
        <v>0</v>
      </c>
      <c r="BI50" s="7"/>
      <c r="BJ50" s="6">
        <f t="shared" si="2"/>
        <v>0</v>
      </c>
    </row>
    <row r="51" spans="1:62" x14ac:dyDescent="0.3">
      <c r="A51" s="5" t="s">
        <v>60</v>
      </c>
      <c r="B51" s="6">
        <v>399</v>
      </c>
      <c r="C51" s="6"/>
      <c r="D51" s="7"/>
      <c r="E51" s="7"/>
      <c r="F51" s="7"/>
      <c r="G51" s="6">
        <v>400</v>
      </c>
      <c r="H51" s="7"/>
      <c r="I51" s="6">
        <f t="shared" si="0"/>
        <v>400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6">
        <f t="shared" si="1"/>
        <v>0</v>
      </c>
      <c r="BI51" s="7"/>
      <c r="BJ51" s="6">
        <f t="shared" si="2"/>
        <v>0</v>
      </c>
    </row>
    <row r="52" spans="1:62" x14ac:dyDescent="0.3">
      <c r="A52" s="5" t="s">
        <v>61</v>
      </c>
      <c r="B52" s="6">
        <v>352</v>
      </c>
      <c r="C52" s="6"/>
      <c r="D52" s="7"/>
      <c r="E52" s="7"/>
      <c r="F52" s="7"/>
      <c r="G52" s="6">
        <v>350</v>
      </c>
      <c r="H52" s="7"/>
      <c r="I52" s="6">
        <f t="shared" si="0"/>
        <v>350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6">
        <f t="shared" si="1"/>
        <v>0</v>
      </c>
      <c r="BI52" s="7"/>
      <c r="BJ52" s="6">
        <f t="shared" si="2"/>
        <v>0</v>
      </c>
    </row>
    <row r="53" spans="1:62" x14ac:dyDescent="0.3">
      <c r="A53" s="5" t="s">
        <v>62</v>
      </c>
      <c r="B53" s="6">
        <v>295</v>
      </c>
      <c r="C53" s="6"/>
      <c r="D53" s="7"/>
      <c r="E53" s="7"/>
      <c r="F53" s="7"/>
      <c r="G53" s="6">
        <v>300</v>
      </c>
      <c r="H53" s="7"/>
      <c r="I53" s="6">
        <f t="shared" si="0"/>
        <v>300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6">
        <f t="shared" si="1"/>
        <v>0</v>
      </c>
      <c r="BI53" s="7"/>
      <c r="BJ53" s="6">
        <f t="shared" si="2"/>
        <v>0</v>
      </c>
    </row>
    <row r="54" spans="1:62" x14ac:dyDescent="0.3">
      <c r="A54" s="5" t="s">
        <v>63</v>
      </c>
      <c r="B54" s="6">
        <v>186</v>
      </c>
      <c r="C54" s="6"/>
      <c r="D54" s="7"/>
      <c r="E54" s="7"/>
      <c r="F54" s="7"/>
      <c r="G54" s="6">
        <v>200</v>
      </c>
      <c r="H54" s="7"/>
      <c r="I54" s="6">
        <f t="shared" si="0"/>
        <v>200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6">
        <f t="shared" si="1"/>
        <v>0</v>
      </c>
      <c r="BI54" s="7"/>
      <c r="BJ54" s="6">
        <f t="shared" si="2"/>
        <v>0</v>
      </c>
    </row>
    <row r="55" spans="1:62" x14ac:dyDescent="0.3">
      <c r="A55" s="5" t="s">
        <v>114</v>
      </c>
      <c r="B55" s="6">
        <v>314</v>
      </c>
      <c r="C55" s="6"/>
      <c r="D55" s="7"/>
      <c r="E55" s="7"/>
      <c r="F55" s="7"/>
      <c r="G55" s="6">
        <v>300</v>
      </c>
      <c r="H55" s="7"/>
      <c r="I55" s="6">
        <f t="shared" si="0"/>
        <v>300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6">
        <f t="shared" si="1"/>
        <v>0</v>
      </c>
      <c r="BI55" s="7"/>
      <c r="BJ55" s="6">
        <f t="shared" si="2"/>
        <v>0</v>
      </c>
    </row>
    <row r="56" spans="1:62" x14ac:dyDescent="0.3">
      <c r="A56" s="5" t="s">
        <v>115</v>
      </c>
      <c r="B56" s="6">
        <v>259</v>
      </c>
      <c r="C56" s="6"/>
      <c r="D56" s="7"/>
      <c r="E56" s="7"/>
      <c r="F56" s="7"/>
      <c r="G56" s="6">
        <v>350</v>
      </c>
      <c r="H56" s="7"/>
      <c r="I56" s="6">
        <f t="shared" si="0"/>
        <v>350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6">
        <f t="shared" si="1"/>
        <v>0</v>
      </c>
      <c r="BI56" s="7"/>
      <c r="BJ56" s="6">
        <f t="shared" si="2"/>
        <v>0</v>
      </c>
    </row>
    <row r="57" spans="1:62" x14ac:dyDescent="0.3">
      <c r="A57" s="5" t="s">
        <v>116</v>
      </c>
      <c r="B57" s="6"/>
      <c r="C57" s="6"/>
      <c r="D57" s="7"/>
      <c r="E57" s="7"/>
      <c r="F57" s="7"/>
      <c r="G57" s="6">
        <v>50</v>
      </c>
      <c r="H57" s="7"/>
      <c r="I57" s="6">
        <f t="shared" si="0"/>
        <v>50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6">
        <f t="shared" si="1"/>
        <v>0</v>
      </c>
      <c r="BI57" s="7"/>
      <c r="BJ57" s="6">
        <f t="shared" si="2"/>
        <v>0</v>
      </c>
    </row>
    <row r="58" spans="1:62" s="10" customFormat="1" x14ac:dyDescent="0.3">
      <c r="A58" s="8">
        <f>COUNTA(A3:A57)</f>
        <v>55</v>
      </c>
      <c r="B58" s="9">
        <f t="shared" ref="B58:BJ58" si="3">SUM(B3:B57)</f>
        <v>24228</v>
      </c>
      <c r="C58" s="9">
        <f t="shared" si="3"/>
        <v>0</v>
      </c>
      <c r="D58" s="9">
        <f t="shared" si="3"/>
        <v>0</v>
      </c>
      <c r="E58" s="9">
        <f t="shared" si="3"/>
        <v>0</v>
      </c>
      <c r="F58" s="9">
        <f t="shared" si="3"/>
        <v>0</v>
      </c>
      <c r="G58" s="9">
        <f t="shared" si="3"/>
        <v>24150</v>
      </c>
      <c r="H58" s="9">
        <f t="shared" si="3"/>
        <v>0</v>
      </c>
      <c r="I58" s="9">
        <f t="shared" si="3"/>
        <v>24150</v>
      </c>
      <c r="J58" s="9">
        <f t="shared" si="3"/>
        <v>0</v>
      </c>
      <c r="K58" s="9">
        <f t="shared" si="3"/>
        <v>0</v>
      </c>
      <c r="L58" s="9">
        <f t="shared" si="3"/>
        <v>0</v>
      </c>
      <c r="M58" s="9">
        <f t="shared" si="3"/>
        <v>0</v>
      </c>
      <c r="N58" s="9">
        <f t="shared" si="3"/>
        <v>0</v>
      </c>
      <c r="O58" s="9">
        <f t="shared" si="3"/>
        <v>0</v>
      </c>
      <c r="P58" s="9">
        <f t="shared" si="3"/>
        <v>0</v>
      </c>
      <c r="Q58" s="9">
        <f t="shared" si="3"/>
        <v>0</v>
      </c>
      <c r="R58" s="9">
        <f t="shared" si="3"/>
        <v>0</v>
      </c>
      <c r="S58" s="9">
        <f t="shared" si="3"/>
        <v>0</v>
      </c>
      <c r="T58" s="9">
        <f t="shared" si="3"/>
        <v>0</v>
      </c>
      <c r="U58" s="9">
        <f t="shared" si="3"/>
        <v>0</v>
      </c>
      <c r="V58" s="9">
        <f t="shared" si="3"/>
        <v>0</v>
      </c>
      <c r="W58" s="9">
        <f t="shared" si="3"/>
        <v>0</v>
      </c>
      <c r="X58" s="9">
        <f t="shared" si="3"/>
        <v>0</v>
      </c>
      <c r="Y58" s="9">
        <f t="shared" si="3"/>
        <v>0</v>
      </c>
      <c r="Z58" s="9">
        <f t="shared" si="3"/>
        <v>0</v>
      </c>
      <c r="AA58" s="9">
        <f t="shared" si="3"/>
        <v>0</v>
      </c>
      <c r="AB58" s="9">
        <f t="shared" si="3"/>
        <v>0</v>
      </c>
      <c r="AC58" s="9">
        <f t="shared" si="3"/>
        <v>0</v>
      </c>
      <c r="AD58" s="9">
        <f t="shared" si="3"/>
        <v>0</v>
      </c>
      <c r="AE58" s="9">
        <f t="shared" si="3"/>
        <v>0</v>
      </c>
      <c r="AF58" s="9">
        <f t="shared" si="3"/>
        <v>0</v>
      </c>
      <c r="AG58" s="9">
        <f t="shared" si="3"/>
        <v>0</v>
      </c>
      <c r="AH58" s="9">
        <f t="shared" si="3"/>
        <v>0</v>
      </c>
      <c r="AI58" s="9">
        <f t="shared" si="3"/>
        <v>0</v>
      </c>
      <c r="AJ58" s="9">
        <f t="shared" si="3"/>
        <v>0</v>
      </c>
      <c r="AK58" s="9">
        <f t="shared" si="3"/>
        <v>0</v>
      </c>
      <c r="AL58" s="9">
        <f t="shared" si="3"/>
        <v>0</v>
      </c>
      <c r="AM58" s="9">
        <f t="shared" si="3"/>
        <v>0</v>
      </c>
      <c r="AN58" s="9">
        <f t="shared" si="3"/>
        <v>0</v>
      </c>
      <c r="AO58" s="9">
        <f t="shared" si="3"/>
        <v>0</v>
      </c>
      <c r="AP58" s="9">
        <f t="shared" si="3"/>
        <v>0</v>
      </c>
      <c r="AQ58" s="9">
        <f t="shared" si="3"/>
        <v>0</v>
      </c>
      <c r="AR58" s="9">
        <f t="shared" si="3"/>
        <v>0</v>
      </c>
      <c r="AS58" s="9">
        <f t="shared" si="3"/>
        <v>0</v>
      </c>
      <c r="AT58" s="9">
        <f t="shared" si="3"/>
        <v>0</v>
      </c>
      <c r="AU58" s="9">
        <f t="shared" si="3"/>
        <v>0</v>
      </c>
      <c r="AV58" s="9">
        <f t="shared" si="3"/>
        <v>0</v>
      </c>
      <c r="AW58" s="9">
        <f t="shared" si="3"/>
        <v>0</v>
      </c>
      <c r="AX58" s="9">
        <f t="shared" si="3"/>
        <v>0</v>
      </c>
      <c r="AY58" s="9">
        <f t="shared" si="3"/>
        <v>0</v>
      </c>
      <c r="AZ58" s="9">
        <f t="shared" si="3"/>
        <v>0</v>
      </c>
      <c r="BA58" s="9">
        <f t="shared" si="3"/>
        <v>0</v>
      </c>
      <c r="BB58" s="9">
        <f t="shared" si="3"/>
        <v>0</v>
      </c>
      <c r="BC58" s="9">
        <f t="shared" si="3"/>
        <v>0</v>
      </c>
      <c r="BD58" s="9">
        <f t="shared" si="3"/>
        <v>0</v>
      </c>
      <c r="BE58" s="9">
        <f t="shared" si="3"/>
        <v>0</v>
      </c>
      <c r="BF58" s="9">
        <f t="shared" si="3"/>
        <v>0</v>
      </c>
      <c r="BG58" s="9">
        <f t="shared" si="3"/>
        <v>0</v>
      </c>
      <c r="BH58" s="9">
        <f t="shared" si="3"/>
        <v>0</v>
      </c>
      <c r="BI58" s="9">
        <f t="shared" si="3"/>
        <v>0</v>
      </c>
      <c r="BJ58" s="9">
        <f t="shared" si="3"/>
        <v>0</v>
      </c>
    </row>
    <row r="59" spans="1:62" x14ac:dyDescent="0.3">
      <c r="J59" s="13" t="e">
        <f>J58/$BH$58</f>
        <v>#DIV/0!</v>
      </c>
      <c r="K59" s="13" t="e">
        <f t="shared" ref="K59:BG59" si="4">K58/$BH$58</f>
        <v>#DIV/0!</v>
      </c>
      <c r="L59" s="13" t="e">
        <f t="shared" si="4"/>
        <v>#DIV/0!</v>
      </c>
      <c r="M59" s="13" t="e">
        <f t="shared" si="4"/>
        <v>#DIV/0!</v>
      </c>
      <c r="N59" s="13" t="e">
        <f t="shared" si="4"/>
        <v>#DIV/0!</v>
      </c>
      <c r="O59" s="13" t="e">
        <f t="shared" si="4"/>
        <v>#DIV/0!</v>
      </c>
      <c r="P59" s="13" t="e">
        <f t="shared" si="4"/>
        <v>#DIV/0!</v>
      </c>
      <c r="Q59" s="13" t="e">
        <f t="shared" si="4"/>
        <v>#DIV/0!</v>
      </c>
      <c r="R59" s="13" t="e">
        <f t="shared" si="4"/>
        <v>#DIV/0!</v>
      </c>
      <c r="S59" s="13" t="e">
        <f t="shared" si="4"/>
        <v>#DIV/0!</v>
      </c>
      <c r="T59" s="13" t="e">
        <f t="shared" si="4"/>
        <v>#DIV/0!</v>
      </c>
      <c r="U59" s="13" t="e">
        <f t="shared" si="4"/>
        <v>#DIV/0!</v>
      </c>
      <c r="V59" s="13" t="e">
        <f t="shared" si="4"/>
        <v>#DIV/0!</v>
      </c>
      <c r="W59" s="13" t="e">
        <f t="shared" si="4"/>
        <v>#DIV/0!</v>
      </c>
      <c r="X59" s="13" t="e">
        <f t="shared" si="4"/>
        <v>#DIV/0!</v>
      </c>
      <c r="Y59" s="13" t="e">
        <f t="shared" si="4"/>
        <v>#DIV/0!</v>
      </c>
      <c r="Z59" s="13" t="e">
        <f>Z58/$BH$58</f>
        <v>#DIV/0!</v>
      </c>
      <c r="AA59" s="13" t="e">
        <f t="shared" si="4"/>
        <v>#DIV/0!</v>
      </c>
      <c r="AB59" s="13" t="e">
        <f t="shared" si="4"/>
        <v>#DIV/0!</v>
      </c>
      <c r="AC59" s="13" t="e">
        <f t="shared" si="4"/>
        <v>#DIV/0!</v>
      </c>
      <c r="AD59" s="13" t="e">
        <f t="shared" si="4"/>
        <v>#DIV/0!</v>
      </c>
      <c r="AE59" s="13" t="e">
        <f t="shared" si="4"/>
        <v>#DIV/0!</v>
      </c>
      <c r="AF59" s="13" t="e">
        <f t="shared" si="4"/>
        <v>#DIV/0!</v>
      </c>
      <c r="AG59" s="13" t="e">
        <f t="shared" si="4"/>
        <v>#DIV/0!</v>
      </c>
      <c r="AH59" s="13" t="e">
        <f t="shared" si="4"/>
        <v>#DIV/0!</v>
      </c>
      <c r="AI59" s="13" t="e">
        <f t="shared" si="4"/>
        <v>#DIV/0!</v>
      </c>
      <c r="AJ59" s="13" t="e">
        <f t="shared" si="4"/>
        <v>#DIV/0!</v>
      </c>
      <c r="AK59" s="13" t="e">
        <f t="shared" si="4"/>
        <v>#DIV/0!</v>
      </c>
      <c r="AL59" s="13" t="e">
        <f t="shared" si="4"/>
        <v>#DIV/0!</v>
      </c>
      <c r="AM59" s="13" t="e">
        <f t="shared" si="4"/>
        <v>#DIV/0!</v>
      </c>
      <c r="AN59" s="13" t="e">
        <f t="shared" si="4"/>
        <v>#DIV/0!</v>
      </c>
      <c r="AO59" s="13" t="e">
        <f t="shared" si="4"/>
        <v>#DIV/0!</v>
      </c>
      <c r="AP59" s="13" t="e">
        <f t="shared" si="4"/>
        <v>#DIV/0!</v>
      </c>
      <c r="AQ59" s="13" t="e">
        <f t="shared" si="4"/>
        <v>#DIV/0!</v>
      </c>
      <c r="AR59" s="13" t="e">
        <f t="shared" si="4"/>
        <v>#DIV/0!</v>
      </c>
      <c r="AS59" s="13" t="e">
        <f t="shared" si="4"/>
        <v>#DIV/0!</v>
      </c>
      <c r="AT59" s="13" t="e">
        <f t="shared" si="4"/>
        <v>#DIV/0!</v>
      </c>
      <c r="AU59" s="13" t="e">
        <f t="shared" si="4"/>
        <v>#DIV/0!</v>
      </c>
      <c r="AV59" s="13" t="e">
        <f t="shared" si="4"/>
        <v>#DIV/0!</v>
      </c>
      <c r="AW59" s="13" t="e">
        <f t="shared" si="4"/>
        <v>#DIV/0!</v>
      </c>
      <c r="AX59" s="13" t="e">
        <f t="shared" si="4"/>
        <v>#DIV/0!</v>
      </c>
      <c r="AY59" s="13" t="e">
        <f t="shared" si="4"/>
        <v>#DIV/0!</v>
      </c>
      <c r="AZ59" s="13" t="e">
        <f t="shared" si="4"/>
        <v>#DIV/0!</v>
      </c>
      <c r="BA59" s="13" t="e">
        <f t="shared" si="4"/>
        <v>#DIV/0!</v>
      </c>
      <c r="BB59" s="13" t="e">
        <f t="shared" si="4"/>
        <v>#DIV/0!</v>
      </c>
      <c r="BC59" s="13" t="e">
        <f t="shared" si="4"/>
        <v>#DIV/0!</v>
      </c>
      <c r="BD59" s="13" t="e">
        <f t="shared" si="4"/>
        <v>#DIV/0!</v>
      </c>
      <c r="BE59" s="13" t="e">
        <f t="shared" si="4"/>
        <v>#DIV/0!</v>
      </c>
      <c r="BF59" s="13" t="e">
        <f t="shared" si="4"/>
        <v>#DIV/0!</v>
      </c>
      <c r="BG59" s="13" t="e">
        <f t="shared" si="4"/>
        <v>#DIV/0!</v>
      </c>
      <c r="BH59" s="14" t="e">
        <f>SUM(J59:BG59)</f>
        <v>#DIV/0!</v>
      </c>
    </row>
  </sheetData>
  <mergeCells count="13">
    <mergeCell ref="BI1:BI2"/>
    <mergeCell ref="BJ1:BJ2"/>
    <mergeCell ref="D1:D2"/>
    <mergeCell ref="E1:E2"/>
    <mergeCell ref="F1:F2"/>
    <mergeCell ref="G1:G2"/>
    <mergeCell ref="H1:H2"/>
    <mergeCell ref="I1:I2"/>
    <mergeCell ref="A1:A2"/>
    <mergeCell ref="B1:B2"/>
    <mergeCell ref="C1:C2"/>
    <mergeCell ref="J1:BG1"/>
    <mergeCell ref="BH1:BH2"/>
  </mergeCells>
  <conditionalFormatting sqref="I56:I57 I3:I31">
    <cfRule type="cellIs" dxfId="23" priority="12" operator="notEqual">
      <formula>0</formula>
    </cfRule>
  </conditionalFormatting>
  <conditionalFormatting sqref="BJ56:BJ57 BJ3:BJ31">
    <cfRule type="expression" dxfId="22" priority="11">
      <formula>BJ3&lt;0</formula>
    </cfRule>
  </conditionalFormatting>
  <conditionalFormatting sqref="E56:F57 E3:F31">
    <cfRule type="expression" dxfId="21" priority="10">
      <formula>E3&lt;D3</formula>
    </cfRule>
  </conditionalFormatting>
  <conditionalFormatting sqref="I32:I51 I53:I54">
    <cfRule type="cellIs" dxfId="20" priority="9" operator="notEqual">
      <formula>0</formula>
    </cfRule>
  </conditionalFormatting>
  <conditionalFormatting sqref="BJ32:BJ51 BJ53:BJ54">
    <cfRule type="expression" dxfId="19" priority="8">
      <formula>BJ32&lt;0</formula>
    </cfRule>
  </conditionalFormatting>
  <conditionalFormatting sqref="E32:F51 E53:F54">
    <cfRule type="expression" dxfId="18" priority="7">
      <formula>E32&lt;D32</formula>
    </cfRule>
  </conditionalFormatting>
  <conditionalFormatting sqref="I52">
    <cfRule type="cellIs" dxfId="17" priority="6" operator="notEqual">
      <formula>0</formula>
    </cfRule>
  </conditionalFormatting>
  <conditionalFormatting sqref="BJ52">
    <cfRule type="expression" dxfId="16" priority="5">
      <formula>BJ52&lt;0</formula>
    </cfRule>
  </conditionalFormatting>
  <conditionalFormatting sqref="E52:F52">
    <cfRule type="expression" dxfId="15" priority="4">
      <formula>E52&lt;D52</formula>
    </cfRule>
  </conditionalFormatting>
  <conditionalFormatting sqref="E55:F55">
    <cfRule type="expression" dxfId="14" priority="1">
      <formula>E55&lt;D55</formula>
    </cfRule>
  </conditionalFormatting>
  <conditionalFormatting sqref="I55">
    <cfRule type="cellIs" dxfId="13" priority="3" operator="notEqual">
      <formula>0</formula>
    </cfRule>
  </conditionalFormatting>
  <conditionalFormatting sqref="BJ55">
    <cfRule type="expression" dxfId="12" priority="2">
      <formula>BJ55&lt;0</formula>
    </cfRule>
  </conditionalFormatting>
  <pageMargins left="0" right="0" top="0.5" bottom="0.5" header="0.3" footer="0.3"/>
  <pageSetup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W56"/>
  <sheetViews>
    <sheetView workbookViewId="0">
      <selection activeCell="U2" sqref="U2"/>
    </sheetView>
  </sheetViews>
  <sheetFormatPr defaultColWidth="9.109375" defaultRowHeight="14.4" x14ac:dyDescent="0.3"/>
  <cols>
    <col min="1" max="1" width="5.6640625" style="21" customWidth="1"/>
    <col min="2" max="2" width="5.6640625" style="22" customWidth="1"/>
    <col min="3" max="4" width="5.6640625" style="19" customWidth="1"/>
    <col min="5" max="5" width="8.21875" style="19" customWidth="1"/>
    <col min="6" max="6" width="6.21875" style="19" customWidth="1"/>
    <col min="7" max="13" width="5.6640625" style="19" customWidth="1"/>
    <col min="14" max="14" width="6.21875" style="19" customWidth="1"/>
    <col min="15" max="15" width="5.6640625" style="19" customWidth="1"/>
    <col min="16" max="16" width="6.109375" style="19" customWidth="1"/>
    <col min="17" max="21" width="5.6640625" style="19" customWidth="1"/>
    <col min="22" max="22" width="5.6640625" style="22" customWidth="1"/>
    <col min="23" max="23" width="5.6640625" style="19" customWidth="1"/>
    <col min="24" max="16384" width="9.109375" style="1"/>
  </cols>
  <sheetData>
    <row r="1" spans="1:23" s="32" customFormat="1" ht="14.25" customHeight="1" x14ac:dyDescent="0.3">
      <c r="A1" s="35" t="s">
        <v>0</v>
      </c>
      <c r="B1" s="36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10</v>
      </c>
      <c r="H1" s="33" t="s">
        <v>140</v>
      </c>
      <c r="I1" s="33" t="s">
        <v>141</v>
      </c>
      <c r="J1" s="33" t="s">
        <v>142</v>
      </c>
      <c r="K1" s="33" t="s">
        <v>143</v>
      </c>
      <c r="L1" s="34" t="s">
        <v>144</v>
      </c>
      <c r="M1" s="33" t="s">
        <v>145</v>
      </c>
      <c r="N1" s="33" t="s">
        <v>146</v>
      </c>
      <c r="O1" s="33" t="s">
        <v>147</v>
      </c>
      <c r="P1" s="34" t="s">
        <v>148</v>
      </c>
      <c r="Q1" s="34" t="s">
        <v>149</v>
      </c>
      <c r="R1" s="33" t="s">
        <v>150</v>
      </c>
      <c r="S1" s="33" t="s">
        <v>151</v>
      </c>
      <c r="T1" s="34" t="s">
        <v>152</v>
      </c>
      <c r="U1" s="33" t="s">
        <v>153</v>
      </c>
      <c r="V1" s="37" t="s">
        <v>7</v>
      </c>
      <c r="W1" s="35" t="s">
        <v>6</v>
      </c>
    </row>
    <row r="2" spans="1:23" x14ac:dyDescent="0.3">
      <c r="A2" s="15" t="s">
        <v>12</v>
      </c>
      <c r="B2" s="17">
        <v>926</v>
      </c>
      <c r="C2" s="17">
        <v>7</v>
      </c>
      <c r="D2" s="16">
        <v>207</v>
      </c>
      <c r="E2" s="16">
        <v>528</v>
      </c>
      <c r="F2" s="18">
        <v>646</v>
      </c>
      <c r="G2" s="18">
        <v>850</v>
      </c>
      <c r="H2" s="18">
        <v>25</v>
      </c>
      <c r="I2" s="18">
        <v>0</v>
      </c>
      <c r="J2" s="18">
        <v>235</v>
      </c>
      <c r="K2" s="18">
        <v>8</v>
      </c>
      <c r="L2" s="18">
        <v>1</v>
      </c>
      <c r="M2" s="18">
        <v>1</v>
      </c>
      <c r="N2" s="18">
        <v>1</v>
      </c>
      <c r="O2" s="18">
        <v>2</v>
      </c>
      <c r="P2" s="18">
        <v>2</v>
      </c>
      <c r="Q2" s="18">
        <v>18</v>
      </c>
      <c r="R2" s="18">
        <v>309</v>
      </c>
      <c r="S2" s="18">
        <v>0</v>
      </c>
      <c r="T2" s="18">
        <v>22</v>
      </c>
      <c r="U2" s="18">
        <v>1</v>
      </c>
      <c r="V2" s="17">
        <f t="shared" ref="V2:V33" si="0">SUM(H2:U2)</f>
        <v>625</v>
      </c>
      <c r="W2" s="18">
        <v>19</v>
      </c>
    </row>
    <row r="3" spans="1:23" x14ac:dyDescent="0.3">
      <c r="A3" s="15" t="s">
        <v>13</v>
      </c>
      <c r="B3" s="17">
        <v>497</v>
      </c>
      <c r="C3" s="17"/>
      <c r="D3" s="16">
        <v>70</v>
      </c>
      <c r="E3" s="16">
        <v>261</v>
      </c>
      <c r="F3" s="18">
        <v>324</v>
      </c>
      <c r="G3" s="18">
        <v>500</v>
      </c>
      <c r="H3" s="18">
        <v>29</v>
      </c>
      <c r="I3" s="18">
        <v>2</v>
      </c>
      <c r="J3" s="18">
        <v>84</v>
      </c>
      <c r="K3" s="18">
        <v>2</v>
      </c>
      <c r="L3" s="18">
        <v>0</v>
      </c>
      <c r="M3" s="18">
        <v>2</v>
      </c>
      <c r="N3" s="18">
        <v>0</v>
      </c>
      <c r="O3" s="18">
        <v>0</v>
      </c>
      <c r="P3" s="18">
        <v>1</v>
      </c>
      <c r="Q3" s="18">
        <v>1</v>
      </c>
      <c r="R3" s="18">
        <v>148</v>
      </c>
      <c r="S3" s="18">
        <v>2</v>
      </c>
      <c r="T3" s="18">
        <v>5</v>
      </c>
      <c r="U3" s="18">
        <v>0</v>
      </c>
      <c r="V3" s="17">
        <f t="shared" si="0"/>
        <v>276</v>
      </c>
      <c r="W3" s="18">
        <v>10</v>
      </c>
    </row>
    <row r="4" spans="1:23" x14ac:dyDescent="0.3">
      <c r="A4" s="15" t="s">
        <v>14</v>
      </c>
      <c r="B4" s="17">
        <v>370</v>
      </c>
      <c r="C4" s="17"/>
      <c r="D4" s="16">
        <v>48</v>
      </c>
      <c r="E4" s="16">
        <v>153</v>
      </c>
      <c r="F4" s="18">
        <v>212</v>
      </c>
      <c r="G4" s="18">
        <v>400</v>
      </c>
      <c r="H4" s="18">
        <v>12</v>
      </c>
      <c r="I4" s="18">
        <v>1</v>
      </c>
      <c r="J4" s="18">
        <v>71</v>
      </c>
      <c r="K4" s="18">
        <v>7</v>
      </c>
      <c r="L4" s="18">
        <v>2</v>
      </c>
      <c r="M4" s="18">
        <v>0</v>
      </c>
      <c r="N4" s="18">
        <v>0</v>
      </c>
      <c r="O4" s="18">
        <v>0</v>
      </c>
      <c r="P4" s="18">
        <v>2</v>
      </c>
      <c r="Q4" s="18">
        <v>2</v>
      </c>
      <c r="R4" s="18">
        <v>101</v>
      </c>
      <c r="S4" s="18">
        <v>0</v>
      </c>
      <c r="T4" s="18">
        <v>2</v>
      </c>
      <c r="U4" s="18">
        <v>0</v>
      </c>
      <c r="V4" s="17">
        <f t="shared" si="0"/>
        <v>200</v>
      </c>
      <c r="W4" s="18">
        <v>12</v>
      </c>
    </row>
    <row r="5" spans="1:23" x14ac:dyDescent="0.3">
      <c r="A5" s="15" t="s">
        <v>15</v>
      </c>
      <c r="B5" s="17">
        <v>900</v>
      </c>
      <c r="C5" s="17">
        <v>1</v>
      </c>
      <c r="D5" s="16">
        <v>162</v>
      </c>
      <c r="E5" s="16">
        <v>462</v>
      </c>
      <c r="F5" s="18">
        <v>578</v>
      </c>
      <c r="G5" s="18">
        <v>850</v>
      </c>
      <c r="H5" s="18">
        <v>25</v>
      </c>
      <c r="I5" s="18">
        <v>2</v>
      </c>
      <c r="J5" s="18">
        <v>227</v>
      </c>
      <c r="K5" s="18">
        <v>9</v>
      </c>
      <c r="L5" s="18">
        <v>6</v>
      </c>
      <c r="M5" s="18">
        <v>2</v>
      </c>
      <c r="N5" s="18">
        <v>0</v>
      </c>
      <c r="O5" s="18">
        <v>3</v>
      </c>
      <c r="P5" s="18">
        <v>1</v>
      </c>
      <c r="Q5" s="18">
        <v>9</v>
      </c>
      <c r="R5" s="18">
        <v>260</v>
      </c>
      <c r="S5" s="18">
        <v>0</v>
      </c>
      <c r="T5" s="18">
        <v>12</v>
      </c>
      <c r="U5" s="18">
        <v>2</v>
      </c>
      <c r="V5" s="17">
        <f t="shared" si="0"/>
        <v>558</v>
      </c>
      <c r="W5" s="18">
        <v>20</v>
      </c>
    </row>
    <row r="6" spans="1:23" x14ac:dyDescent="0.3">
      <c r="A6" s="15" t="s">
        <v>16</v>
      </c>
      <c r="B6" s="17">
        <v>554</v>
      </c>
      <c r="C6" s="17">
        <v>2</v>
      </c>
      <c r="D6" s="16">
        <v>87</v>
      </c>
      <c r="E6" s="16">
        <v>294</v>
      </c>
      <c r="F6" s="18">
        <v>361</v>
      </c>
      <c r="G6" s="18">
        <v>500</v>
      </c>
      <c r="H6" s="18">
        <v>21</v>
      </c>
      <c r="I6" s="18">
        <v>0</v>
      </c>
      <c r="J6" s="18">
        <v>112</v>
      </c>
      <c r="K6" s="18">
        <v>3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3</v>
      </c>
      <c r="R6" s="18">
        <v>195</v>
      </c>
      <c r="S6" s="18">
        <v>0</v>
      </c>
      <c r="T6" s="18">
        <v>5</v>
      </c>
      <c r="U6" s="18">
        <v>1</v>
      </c>
      <c r="V6" s="17">
        <f t="shared" si="0"/>
        <v>340</v>
      </c>
      <c r="W6" s="18">
        <v>21</v>
      </c>
    </row>
    <row r="7" spans="1:23" x14ac:dyDescent="0.3">
      <c r="A7" s="15" t="s">
        <v>17</v>
      </c>
      <c r="B7" s="17">
        <v>386</v>
      </c>
      <c r="C7" s="17">
        <v>1</v>
      </c>
      <c r="D7" s="16">
        <v>61</v>
      </c>
      <c r="E7" s="16">
        <v>173</v>
      </c>
      <c r="F7" s="18">
        <v>227</v>
      </c>
      <c r="G7" s="18">
        <v>400</v>
      </c>
      <c r="H7" s="18">
        <v>12</v>
      </c>
      <c r="I7" s="18">
        <v>1</v>
      </c>
      <c r="J7" s="18">
        <v>74</v>
      </c>
      <c r="K7" s="18">
        <v>7</v>
      </c>
      <c r="L7" s="18">
        <v>2</v>
      </c>
      <c r="M7" s="18">
        <v>1</v>
      </c>
      <c r="N7" s="18">
        <v>1</v>
      </c>
      <c r="O7" s="18">
        <v>0</v>
      </c>
      <c r="P7" s="18">
        <v>2</v>
      </c>
      <c r="Q7" s="18">
        <v>3</v>
      </c>
      <c r="R7" s="18">
        <v>99</v>
      </c>
      <c r="S7" s="18">
        <v>2</v>
      </c>
      <c r="T7" s="18">
        <v>8</v>
      </c>
      <c r="U7" s="18">
        <v>1</v>
      </c>
      <c r="V7" s="17">
        <f t="shared" si="0"/>
        <v>213</v>
      </c>
      <c r="W7" s="18">
        <v>13</v>
      </c>
    </row>
    <row r="8" spans="1:23" x14ac:dyDescent="0.3">
      <c r="A8" s="15" t="s">
        <v>18</v>
      </c>
      <c r="B8" s="17">
        <v>616</v>
      </c>
      <c r="C8" s="17">
        <v>1</v>
      </c>
      <c r="D8" s="16">
        <v>86</v>
      </c>
      <c r="E8" s="16">
        <v>295</v>
      </c>
      <c r="F8" s="18">
        <v>380</v>
      </c>
      <c r="G8" s="18">
        <v>600</v>
      </c>
      <c r="H8" s="18">
        <v>41</v>
      </c>
      <c r="I8" s="18">
        <v>1</v>
      </c>
      <c r="J8" s="18">
        <v>126</v>
      </c>
      <c r="K8" s="18">
        <v>7</v>
      </c>
      <c r="L8" s="18">
        <v>4</v>
      </c>
      <c r="M8" s="18">
        <v>5</v>
      </c>
      <c r="N8" s="18">
        <v>1</v>
      </c>
      <c r="O8" s="18">
        <v>1</v>
      </c>
      <c r="P8" s="18">
        <v>5</v>
      </c>
      <c r="Q8" s="18">
        <v>18</v>
      </c>
      <c r="R8" s="18">
        <v>121</v>
      </c>
      <c r="S8" s="18">
        <v>4</v>
      </c>
      <c r="T8" s="18">
        <v>22</v>
      </c>
      <c r="U8" s="18">
        <v>1</v>
      </c>
      <c r="V8" s="17">
        <f t="shared" si="0"/>
        <v>357</v>
      </c>
      <c r="W8" s="18">
        <v>22</v>
      </c>
    </row>
    <row r="9" spans="1:23" x14ac:dyDescent="0.3">
      <c r="A9" s="15" t="s">
        <v>19</v>
      </c>
      <c r="B9" s="17">
        <v>461</v>
      </c>
      <c r="C9" s="17"/>
      <c r="D9" s="16">
        <v>87</v>
      </c>
      <c r="E9" s="16">
        <v>220</v>
      </c>
      <c r="F9" s="18">
        <v>296</v>
      </c>
      <c r="G9" s="18">
        <v>500</v>
      </c>
      <c r="H9" s="18">
        <v>37</v>
      </c>
      <c r="I9" s="18">
        <v>0</v>
      </c>
      <c r="J9" s="18">
        <v>93</v>
      </c>
      <c r="K9" s="18">
        <v>5</v>
      </c>
      <c r="L9" s="18">
        <v>2</v>
      </c>
      <c r="M9" s="18">
        <v>1</v>
      </c>
      <c r="N9" s="18">
        <v>1</v>
      </c>
      <c r="O9" s="18">
        <v>0</v>
      </c>
      <c r="P9" s="18">
        <v>0</v>
      </c>
      <c r="Q9" s="18">
        <v>7</v>
      </c>
      <c r="R9" s="18">
        <v>115</v>
      </c>
      <c r="S9" s="18">
        <v>9</v>
      </c>
      <c r="T9" s="18">
        <v>11</v>
      </c>
      <c r="U9" s="18">
        <v>2</v>
      </c>
      <c r="V9" s="17">
        <f t="shared" si="0"/>
        <v>283</v>
      </c>
      <c r="W9" s="18">
        <v>13</v>
      </c>
    </row>
    <row r="10" spans="1:23" x14ac:dyDescent="0.3">
      <c r="A10" s="15" t="s">
        <v>20</v>
      </c>
      <c r="B10" s="17">
        <v>696</v>
      </c>
      <c r="C10" s="17">
        <v>3</v>
      </c>
      <c r="D10" s="16">
        <v>112</v>
      </c>
      <c r="E10" s="16">
        <v>331</v>
      </c>
      <c r="F10" s="18">
        <v>436</v>
      </c>
      <c r="G10" s="18">
        <v>650</v>
      </c>
      <c r="H10" s="18">
        <v>14</v>
      </c>
      <c r="I10" s="18">
        <v>0</v>
      </c>
      <c r="J10" s="18">
        <v>157</v>
      </c>
      <c r="K10" s="18">
        <v>10</v>
      </c>
      <c r="L10" s="18">
        <v>2</v>
      </c>
      <c r="M10" s="18">
        <v>3</v>
      </c>
      <c r="N10" s="18">
        <v>1</v>
      </c>
      <c r="O10" s="18">
        <v>0</v>
      </c>
      <c r="P10" s="18">
        <v>3</v>
      </c>
      <c r="Q10" s="18">
        <v>2</v>
      </c>
      <c r="R10" s="18">
        <v>204</v>
      </c>
      <c r="S10" s="18">
        <v>1</v>
      </c>
      <c r="T10" s="18">
        <v>24</v>
      </c>
      <c r="U10" s="18">
        <v>2</v>
      </c>
      <c r="V10" s="17">
        <f t="shared" si="0"/>
        <v>423</v>
      </c>
      <c r="W10" s="18">
        <v>11</v>
      </c>
    </row>
    <row r="11" spans="1:23" x14ac:dyDescent="0.3">
      <c r="A11" s="15" t="s">
        <v>21</v>
      </c>
      <c r="B11" s="17">
        <v>442</v>
      </c>
      <c r="C11" s="17">
        <v>1</v>
      </c>
      <c r="D11" s="16">
        <v>79</v>
      </c>
      <c r="E11" s="16">
        <v>271</v>
      </c>
      <c r="F11" s="18">
        <v>295</v>
      </c>
      <c r="G11" s="18">
        <v>450</v>
      </c>
      <c r="H11" s="18">
        <v>17</v>
      </c>
      <c r="I11" s="18">
        <v>1</v>
      </c>
      <c r="J11" s="18">
        <v>101</v>
      </c>
      <c r="K11" s="18">
        <v>14</v>
      </c>
      <c r="L11" s="18">
        <v>1</v>
      </c>
      <c r="M11" s="18">
        <v>1</v>
      </c>
      <c r="N11" s="18">
        <v>0</v>
      </c>
      <c r="O11" s="18">
        <v>0</v>
      </c>
      <c r="P11" s="18">
        <v>2</v>
      </c>
      <c r="Q11" s="18">
        <v>6</v>
      </c>
      <c r="R11" s="18">
        <v>117</v>
      </c>
      <c r="S11" s="18">
        <v>4</v>
      </c>
      <c r="T11" s="18">
        <v>13</v>
      </c>
      <c r="U11" s="18">
        <v>1</v>
      </c>
      <c r="V11" s="17">
        <f t="shared" si="0"/>
        <v>278</v>
      </c>
      <c r="W11" s="18">
        <v>16</v>
      </c>
    </row>
    <row r="12" spans="1:23" x14ac:dyDescent="0.3">
      <c r="A12" s="15" t="s">
        <v>22</v>
      </c>
      <c r="B12" s="17">
        <v>651</v>
      </c>
      <c r="C12" s="17"/>
      <c r="D12" s="16">
        <v>95</v>
      </c>
      <c r="E12" s="16">
        <v>315</v>
      </c>
      <c r="F12" s="18">
        <v>460</v>
      </c>
      <c r="G12" s="18">
        <v>600</v>
      </c>
      <c r="H12" s="18">
        <v>78</v>
      </c>
      <c r="I12" s="18">
        <v>0</v>
      </c>
      <c r="J12" s="18">
        <v>162</v>
      </c>
      <c r="K12" s="18">
        <v>4</v>
      </c>
      <c r="L12" s="18">
        <v>2</v>
      </c>
      <c r="M12" s="18">
        <v>14</v>
      </c>
      <c r="N12" s="18">
        <v>1</v>
      </c>
      <c r="O12" s="18">
        <v>2</v>
      </c>
      <c r="P12" s="18">
        <v>0</v>
      </c>
      <c r="Q12" s="18">
        <v>3</v>
      </c>
      <c r="R12" s="18">
        <v>173</v>
      </c>
      <c r="S12" s="18">
        <v>0</v>
      </c>
      <c r="T12" s="18">
        <v>4</v>
      </c>
      <c r="U12" s="18">
        <v>0</v>
      </c>
      <c r="V12" s="17">
        <f t="shared" si="0"/>
        <v>443</v>
      </c>
      <c r="W12" s="18">
        <v>17</v>
      </c>
    </row>
    <row r="13" spans="1:23" x14ac:dyDescent="0.3">
      <c r="A13" s="15" t="s">
        <v>23</v>
      </c>
      <c r="B13" s="17">
        <v>1000</v>
      </c>
      <c r="C13" s="17">
        <v>2</v>
      </c>
      <c r="D13" s="16">
        <v>140</v>
      </c>
      <c r="E13" s="16">
        <v>512</v>
      </c>
      <c r="F13" s="18">
        <v>662</v>
      </c>
      <c r="G13" s="18">
        <v>950</v>
      </c>
      <c r="H13" s="18">
        <v>48</v>
      </c>
      <c r="I13" s="18">
        <v>7</v>
      </c>
      <c r="J13" s="18">
        <v>274</v>
      </c>
      <c r="K13" s="18">
        <v>32</v>
      </c>
      <c r="L13" s="18">
        <v>9</v>
      </c>
      <c r="M13" s="18">
        <v>4</v>
      </c>
      <c r="N13" s="18">
        <v>4</v>
      </c>
      <c r="O13" s="18">
        <v>0</v>
      </c>
      <c r="P13" s="18">
        <v>4</v>
      </c>
      <c r="Q13" s="18">
        <v>13</v>
      </c>
      <c r="R13" s="18">
        <v>200</v>
      </c>
      <c r="S13" s="18">
        <v>3</v>
      </c>
      <c r="T13" s="18">
        <v>18</v>
      </c>
      <c r="U13" s="18">
        <v>8</v>
      </c>
      <c r="V13" s="17">
        <f t="shared" si="0"/>
        <v>624</v>
      </c>
      <c r="W13" s="18">
        <v>38</v>
      </c>
    </row>
    <row r="14" spans="1:23" x14ac:dyDescent="0.3">
      <c r="A14" s="15" t="s">
        <v>24</v>
      </c>
      <c r="B14" s="17">
        <v>392</v>
      </c>
      <c r="C14" s="17">
        <v>1</v>
      </c>
      <c r="D14" s="16">
        <v>78</v>
      </c>
      <c r="E14" s="16">
        <v>208</v>
      </c>
      <c r="F14" s="18">
        <v>262</v>
      </c>
      <c r="G14" s="18">
        <v>400</v>
      </c>
      <c r="H14" s="18">
        <v>17</v>
      </c>
      <c r="I14" s="18">
        <v>1</v>
      </c>
      <c r="J14" s="18">
        <v>91</v>
      </c>
      <c r="K14" s="18">
        <v>8</v>
      </c>
      <c r="L14" s="18">
        <v>3</v>
      </c>
      <c r="M14" s="18">
        <v>1</v>
      </c>
      <c r="N14" s="18">
        <v>2</v>
      </c>
      <c r="O14" s="18">
        <v>2</v>
      </c>
      <c r="P14" s="18">
        <v>1</v>
      </c>
      <c r="Q14" s="18">
        <v>3</v>
      </c>
      <c r="R14" s="18">
        <v>113</v>
      </c>
      <c r="S14" s="18">
        <v>1</v>
      </c>
      <c r="T14" s="18">
        <v>7</v>
      </c>
      <c r="U14" s="18">
        <v>4</v>
      </c>
      <c r="V14" s="17">
        <f t="shared" si="0"/>
        <v>254</v>
      </c>
      <c r="W14" s="18">
        <v>8</v>
      </c>
    </row>
    <row r="15" spans="1:23" x14ac:dyDescent="0.3">
      <c r="A15" s="15" t="s">
        <v>25</v>
      </c>
      <c r="B15" s="17">
        <v>557</v>
      </c>
      <c r="C15" s="17"/>
      <c r="D15" s="16">
        <v>67</v>
      </c>
      <c r="E15" s="16">
        <v>263</v>
      </c>
      <c r="F15" s="18">
        <v>378</v>
      </c>
      <c r="G15" s="18">
        <v>550</v>
      </c>
      <c r="H15" s="18">
        <v>36</v>
      </c>
      <c r="I15" s="18">
        <v>0</v>
      </c>
      <c r="J15" s="18">
        <v>84</v>
      </c>
      <c r="K15" s="18">
        <v>8</v>
      </c>
      <c r="L15" s="18">
        <v>1</v>
      </c>
      <c r="M15" s="18">
        <v>1</v>
      </c>
      <c r="N15" s="18">
        <v>0</v>
      </c>
      <c r="O15" s="18">
        <v>0</v>
      </c>
      <c r="P15" s="18">
        <v>1</v>
      </c>
      <c r="Q15" s="18">
        <v>1</v>
      </c>
      <c r="R15" s="18">
        <v>221</v>
      </c>
      <c r="S15" s="18">
        <v>0</v>
      </c>
      <c r="T15" s="18">
        <v>5</v>
      </c>
      <c r="U15" s="18">
        <v>2</v>
      </c>
      <c r="V15" s="17">
        <f t="shared" si="0"/>
        <v>360</v>
      </c>
      <c r="W15" s="18">
        <v>18</v>
      </c>
    </row>
    <row r="16" spans="1:23" x14ac:dyDescent="0.3">
      <c r="A16" s="15" t="s">
        <v>26</v>
      </c>
      <c r="B16" s="17">
        <v>352</v>
      </c>
      <c r="C16" s="17">
        <v>2</v>
      </c>
      <c r="D16" s="16">
        <v>70</v>
      </c>
      <c r="E16" s="16">
        <v>163</v>
      </c>
      <c r="F16" s="18">
        <v>224</v>
      </c>
      <c r="G16" s="18">
        <v>350</v>
      </c>
      <c r="H16" s="18">
        <v>4</v>
      </c>
      <c r="I16" s="18">
        <v>0</v>
      </c>
      <c r="J16" s="18">
        <v>85</v>
      </c>
      <c r="K16" s="18">
        <v>20</v>
      </c>
      <c r="L16" s="18">
        <v>1</v>
      </c>
      <c r="M16" s="18">
        <v>0</v>
      </c>
      <c r="N16" s="18">
        <v>1</v>
      </c>
      <c r="O16" s="18">
        <v>0</v>
      </c>
      <c r="P16" s="18">
        <v>0</v>
      </c>
      <c r="Q16" s="18">
        <v>2</v>
      </c>
      <c r="R16" s="18">
        <v>98</v>
      </c>
      <c r="S16" s="18">
        <v>2</v>
      </c>
      <c r="T16" s="18">
        <v>3</v>
      </c>
      <c r="U16" s="18">
        <v>0</v>
      </c>
      <c r="V16" s="17">
        <f t="shared" si="0"/>
        <v>216</v>
      </c>
      <c r="W16" s="18">
        <v>8</v>
      </c>
    </row>
    <row r="17" spans="1:23" x14ac:dyDescent="0.3">
      <c r="A17" s="15" t="s">
        <v>27</v>
      </c>
      <c r="B17" s="17">
        <v>353</v>
      </c>
      <c r="C17" s="17"/>
      <c r="D17" s="16">
        <v>80</v>
      </c>
      <c r="E17" s="16">
        <v>220</v>
      </c>
      <c r="F17" s="18">
        <v>262</v>
      </c>
      <c r="G17" s="18">
        <v>350</v>
      </c>
      <c r="H17" s="18">
        <v>18</v>
      </c>
      <c r="I17" s="18">
        <v>0</v>
      </c>
      <c r="J17" s="18">
        <v>69</v>
      </c>
      <c r="K17" s="18">
        <v>8</v>
      </c>
      <c r="L17" s="18">
        <v>0</v>
      </c>
      <c r="M17" s="18">
        <v>2</v>
      </c>
      <c r="N17" s="18">
        <v>3</v>
      </c>
      <c r="O17" s="18">
        <v>0</v>
      </c>
      <c r="P17" s="18">
        <v>1</v>
      </c>
      <c r="Q17" s="18">
        <v>2</v>
      </c>
      <c r="R17" s="18">
        <v>117</v>
      </c>
      <c r="S17" s="18">
        <v>0</v>
      </c>
      <c r="T17" s="18">
        <v>33</v>
      </c>
      <c r="U17" s="18">
        <v>0</v>
      </c>
      <c r="V17" s="17">
        <f t="shared" si="0"/>
        <v>253</v>
      </c>
      <c r="W17" s="18">
        <v>9</v>
      </c>
    </row>
    <row r="18" spans="1:23" x14ac:dyDescent="0.3">
      <c r="A18" s="15" t="s">
        <v>28</v>
      </c>
      <c r="B18" s="17">
        <v>682</v>
      </c>
      <c r="C18" s="17">
        <v>1</v>
      </c>
      <c r="D18" s="16">
        <v>90</v>
      </c>
      <c r="E18" s="16">
        <v>269</v>
      </c>
      <c r="F18" s="18">
        <v>426</v>
      </c>
      <c r="G18" s="18">
        <v>650</v>
      </c>
      <c r="H18" s="18">
        <v>33</v>
      </c>
      <c r="I18" s="18">
        <v>0</v>
      </c>
      <c r="J18" s="18">
        <v>161</v>
      </c>
      <c r="K18" s="18">
        <v>10</v>
      </c>
      <c r="L18" s="18">
        <v>5</v>
      </c>
      <c r="M18" s="18">
        <v>0</v>
      </c>
      <c r="N18" s="18">
        <v>2</v>
      </c>
      <c r="O18" s="18">
        <v>1</v>
      </c>
      <c r="P18" s="18">
        <v>1</v>
      </c>
      <c r="Q18" s="18">
        <v>5</v>
      </c>
      <c r="R18" s="18">
        <v>145</v>
      </c>
      <c r="S18" s="18">
        <v>19</v>
      </c>
      <c r="T18" s="18">
        <v>13</v>
      </c>
      <c r="U18" s="18">
        <v>0</v>
      </c>
      <c r="V18" s="17">
        <f t="shared" si="0"/>
        <v>395</v>
      </c>
      <c r="W18" s="18">
        <v>31</v>
      </c>
    </row>
    <row r="19" spans="1:23" x14ac:dyDescent="0.3">
      <c r="A19" s="15" t="s">
        <v>29</v>
      </c>
      <c r="B19" s="17">
        <v>1133</v>
      </c>
      <c r="C19" s="17">
        <v>1</v>
      </c>
      <c r="D19" s="16">
        <v>237</v>
      </c>
      <c r="E19" s="16">
        <v>600</v>
      </c>
      <c r="F19" s="18">
        <v>731</v>
      </c>
      <c r="G19" s="18">
        <v>1050</v>
      </c>
      <c r="H19" s="18">
        <v>13</v>
      </c>
      <c r="I19" s="18">
        <v>5</v>
      </c>
      <c r="J19" s="18">
        <v>262</v>
      </c>
      <c r="K19" s="18">
        <v>6</v>
      </c>
      <c r="L19" s="18">
        <v>3</v>
      </c>
      <c r="M19" s="18">
        <v>10</v>
      </c>
      <c r="N19" s="18">
        <v>0</v>
      </c>
      <c r="O19" s="18">
        <v>3</v>
      </c>
      <c r="P19" s="18">
        <v>8</v>
      </c>
      <c r="Q19" s="18">
        <v>14</v>
      </c>
      <c r="R19" s="18">
        <v>365</v>
      </c>
      <c r="S19" s="18">
        <v>1</v>
      </c>
      <c r="T19" s="18">
        <v>11</v>
      </c>
      <c r="U19" s="18">
        <v>1</v>
      </c>
      <c r="V19" s="17">
        <f t="shared" si="0"/>
        <v>702</v>
      </c>
      <c r="W19" s="18">
        <v>28</v>
      </c>
    </row>
    <row r="20" spans="1:23" x14ac:dyDescent="0.3">
      <c r="A20" s="15" t="s">
        <v>30</v>
      </c>
      <c r="B20" s="17">
        <v>751</v>
      </c>
      <c r="C20" s="17">
        <v>2</v>
      </c>
      <c r="D20" s="16">
        <v>130</v>
      </c>
      <c r="E20" s="16">
        <v>405</v>
      </c>
      <c r="F20" s="18">
        <v>533</v>
      </c>
      <c r="G20" s="18">
        <v>700</v>
      </c>
      <c r="H20" s="18">
        <v>11</v>
      </c>
      <c r="I20" s="18">
        <v>0</v>
      </c>
      <c r="J20" s="18">
        <v>257</v>
      </c>
      <c r="K20" s="18">
        <v>9</v>
      </c>
      <c r="L20" s="18">
        <v>0</v>
      </c>
      <c r="M20" s="18">
        <v>8</v>
      </c>
      <c r="N20" s="18">
        <v>1</v>
      </c>
      <c r="O20" s="18">
        <v>0</v>
      </c>
      <c r="P20" s="18">
        <v>3</v>
      </c>
      <c r="Q20" s="18">
        <v>4</v>
      </c>
      <c r="R20" s="18">
        <v>215</v>
      </c>
      <c r="S20" s="18">
        <v>0</v>
      </c>
      <c r="T20" s="18">
        <v>5</v>
      </c>
      <c r="U20" s="18">
        <v>0</v>
      </c>
      <c r="V20" s="17">
        <f t="shared" si="0"/>
        <v>513</v>
      </c>
      <c r="W20" s="18">
        <v>20</v>
      </c>
    </row>
    <row r="21" spans="1:23" x14ac:dyDescent="0.3">
      <c r="A21" s="15" t="s">
        <v>31</v>
      </c>
      <c r="B21" s="17">
        <v>234</v>
      </c>
      <c r="C21" s="17"/>
      <c r="D21" s="16">
        <v>55</v>
      </c>
      <c r="E21" s="16">
        <v>134</v>
      </c>
      <c r="F21" s="18">
        <v>162</v>
      </c>
      <c r="G21" s="18">
        <v>250</v>
      </c>
      <c r="H21" s="18">
        <v>11</v>
      </c>
      <c r="I21" s="18">
        <v>1</v>
      </c>
      <c r="J21" s="18">
        <v>52</v>
      </c>
      <c r="K21" s="18">
        <v>1</v>
      </c>
      <c r="L21" s="18">
        <v>2</v>
      </c>
      <c r="M21" s="18">
        <v>1</v>
      </c>
      <c r="N21" s="18">
        <v>0</v>
      </c>
      <c r="O21" s="18">
        <v>0</v>
      </c>
      <c r="P21" s="18">
        <v>0</v>
      </c>
      <c r="Q21" s="18">
        <v>4</v>
      </c>
      <c r="R21" s="18">
        <v>84</v>
      </c>
      <c r="S21" s="18">
        <v>1</v>
      </c>
      <c r="T21" s="18">
        <v>3</v>
      </c>
      <c r="U21" s="18">
        <v>0</v>
      </c>
      <c r="V21" s="17">
        <f t="shared" si="0"/>
        <v>160</v>
      </c>
      <c r="W21" s="18">
        <v>2</v>
      </c>
    </row>
    <row r="22" spans="1:23" x14ac:dyDescent="0.3">
      <c r="A22" s="15" t="s">
        <v>32</v>
      </c>
      <c r="B22" s="17">
        <v>308</v>
      </c>
      <c r="C22" s="17">
        <v>1</v>
      </c>
      <c r="D22" s="16">
        <v>82</v>
      </c>
      <c r="E22" s="16">
        <v>178</v>
      </c>
      <c r="F22" s="18">
        <v>202</v>
      </c>
      <c r="G22" s="18">
        <v>350</v>
      </c>
      <c r="H22" s="18">
        <v>9</v>
      </c>
      <c r="I22" s="18">
        <v>0</v>
      </c>
      <c r="J22" s="18">
        <v>96</v>
      </c>
      <c r="K22" s="18">
        <v>3</v>
      </c>
      <c r="L22" s="18">
        <v>1</v>
      </c>
      <c r="M22" s="18">
        <v>0</v>
      </c>
      <c r="N22" s="18">
        <v>0</v>
      </c>
      <c r="O22" s="18">
        <v>0</v>
      </c>
      <c r="P22" s="18">
        <v>1</v>
      </c>
      <c r="Q22" s="18">
        <v>1</v>
      </c>
      <c r="R22" s="18">
        <v>86</v>
      </c>
      <c r="S22" s="18">
        <v>0</v>
      </c>
      <c r="T22" s="18">
        <v>4</v>
      </c>
      <c r="U22" s="18">
        <v>0</v>
      </c>
      <c r="V22" s="17">
        <f t="shared" si="0"/>
        <v>201</v>
      </c>
      <c r="W22" s="18">
        <v>1</v>
      </c>
    </row>
    <row r="23" spans="1:23" x14ac:dyDescent="0.3">
      <c r="A23" s="15" t="s">
        <v>33</v>
      </c>
      <c r="B23" s="17">
        <v>279</v>
      </c>
      <c r="C23" s="17">
        <v>1</v>
      </c>
      <c r="D23" s="16">
        <v>41</v>
      </c>
      <c r="E23" s="16">
        <v>139</v>
      </c>
      <c r="F23" s="18">
        <v>179</v>
      </c>
      <c r="G23" s="18">
        <v>300</v>
      </c>
      <c r="H23" s="18">
        <v>5</v>
      </c>
      <c r="I23" s="18">
        <v>0</v>
      </c>
      <c r="J23" s="18">
        <v>53</v>
      </c>
      <c r="K23" s="18">
        <v>7</v>
      </c>
      <c r="L23" s="18">
        <v>0</v>
      </c>
      <c r="M23" s="18">
        <v>1</v>
      </c>
      <c r="N23" s="18">
        <v>0</v>
      </c>
      <c r="O23" s="18">
        <v>0</v>
      </c>
      <c r="P23" s="18">
        <v>0</v>
      </c>
      <c r="Q23" s="18">
        <v>13</v>
      </c>
      <c r="R23" s="18">
        <v>90</v>
      </c>
      <c r="S23" s="18">
        <v>0</v>
      </c>
      <c r="T23" s="18">
        <v>3</v>
      </c>
      <c r="U23" s="18">
        <v>1</v>
      </c>
      <c r="V23" s="17">
        <f t="shared" si="0"/>
        <v>173</v>
      </c>
      <c r="W23" s="18">
        <v>5</v>
      </c>
    </row>
    <row r="24" spans="1:23" s="19" customFormat="1" x14ac:dyDescent="0.3">
      <c r="A24" s="15" t="s">
        <v>34</v>
      </c>
      <c r="B24" s="17">
        <v>769</v>
      </c>
      <c r="C24" s="17">
        <v>16</v>
      </c>
      <c r="D24" s="16">
        <v>110</v>
      </c>
      <c r="E24" s="16">
        <v>344</v>
      </c>
      <c r="F24" s="18">
        <v>436</v>
      </c>
      <c r="G24" s="18">
        <v>750</v>
      </c>
      <c r="H24" s="18">
        <v>16</v>
      </c>
      <c r="I24" s="18">
        <v>0</v>
      </c>
      <c r="J24" s="18">
        <v>138</v>
      </c>
      <c r="K24" s="18">
        <v>4</v>
      </c>
      <c r="L24" s="18">
        <v>2</v>
      </c>
      <c r="M24" s="18">
        <v>13</v>
      </c>
      <c r="N24" s="18">
        <v>0</v>
      </c>
      <c r="O24" s="18">
        <v>0</v>
      </c>
      <c r="P24" s="18">
        <v>1</v>
      </c>
      <c r="Q24" s="18">
        <v>25</v>
      </c>
      <c r="R24" s="18">
        <v>191</v>
      </c>
      <c r="S24" s="18">
        <v>0</v>
      </c>
      <c r="T24" s="18">
        <v>24</v>
      </c>
      <c r="U24" s="18">
        <v>1</v>
      </c>
      <c r="V24" s="17">
        <f t="shared" si="0"/>
        <v>415</v>
      </c>
      <c r="W24" s="18">
        <v>17</v>
      </c>
    </row>
    <row r="25" spans="1:23" x14ac:dyDescent="0.3">
      <c r="A25" s="15" t="s">
        <v>35</v>
      </c>
      <c r="B25" s="17">
        <v>572</v>
      </c>
      <c r="C25" s="17"/>
      <c r="D25" s="16">
        <v>126</v>
      </c>
      <c r="E25" s="16">
        <v>300</v>
      </c>
      <c r="F25" s="18">
        <v>410</v>
      </c>
      <c r="G25" s="18">
        <v>550</v>
      </c>
      <c r="H25" s="18">
        <v>8</v>
      </c>
      <c r="I25" s="18">
        <v>8</v>
      </c>
      <c r="J25" s="18">
        <v>189</v>
      </c>
      <c r="K25" s="18">
        <v>4</v>
      </c>
      <c r="L25" s="18">
        <v>3</v>
      </c>
      <c r="M25" s="18">
        <v>0</v>
      </c>
      <c r="N25" s="18">
        <v>2</v>
      </c>
      <c r="O25" s="18">
        <v>0</v>
      </c>
      <c r="P25" s="18">
        <v>0</v>
      </c>
      <c r="Q25" s="18">
        <v>3</v>
      </c>
      <c r="R25" s="18">
        <v>159</v>
      </c>
      <c r="S25" s="18">
        <v>0</v>
      </c>
      <c r="T25" s="18">
        <v>15</v>
      </c>
      <c r="U25" s="18">
        <v>3</v>
      </c>
      <c r="V25" s="17">
        <f t="shared" si="0"/>
        <v>394</v>
      </c>
      <c r="W25" s="18">
        <v>16</v>
      </c>
    </row>
    <row r="26" spans="1:23" x14ac:dyDescent="0.3">
      <c r="A26" s="15" t="s">
        <v>36</v>
      </c>
      <c r="B26" s="17">
        <v>425</v>
      </c>
      <c r="C26" s="17"/>
      <c r="D26" s="16">
        <v>70</v>
      </c>
      <c r="E26" s="16">
        <v>216</v>
      </c>
      <c r="F26" s="18">
        <v>268</v>
      </c>
      <c r="G26" s="18">
        <v>450</v>
      </c>
      <c r="H26" s="18">
        <v>9</v>
      </c>
      <c r="I26" s="18">
        <v>2</v>
      </c>
      <c r="J26" s="18">
        <v>96</v>
      </c>
      <c r="K26" s="18">
        <v>2</v>
      </c>
      <c r="L26" s="18">
        <v>1</v>
      </c>
      <c r="M26" s="18">
        <v>1</v>
      </c>
      <c r="N26" s="18">
        <v>0</v>
      </c>
      <c r="O26" s="18">
        <v>0</v>
      </c>
      <c r="P26" s="18">
        <v>1</v>
      </c>
      <c r="Q26" s="18">
        <v>6</v>
      </c>
      <c r="R26" s="18">
        <v>109</v>
      </c>
      <c r="S26" s="18">
        <v>0</v>
      </c>
      <c r="T26" s="18">
        <v>25</v>
      </c>
      <c r="U26" s="18">
        <v>6</v>
      </c>
      <c r="V26" s="17">
        <f t="shared" si="0"/>
        <v>258</v>
      </c>
      <c r="W26" s="18">
        <v>10</v>
      </c>
    </row>
    <row r="27" spans="1:23" x14ac:dyDescent="0.3">
      <c r="A27" s="15" t="s">
        <v>37</v>
      </c>
      <c r="B27" s="17">
        <v>455</v>
      </c>
      <c r="C27" s="17">
        <v>1</v>
      </c>
      <c r="D27" s="16">
        <v>101</v>
      </c>
      <c r="E27" s="16">
        <v>230</v>
      </c>
      <c r="F27" s="18">
        <v>303</v>
      </c>
      <c r="G27" s="18">
        <v>450</v>
      </c>
      <c r="H27" s="18">
        <v>10</v>
      </c>
      <c r="I27" s="18">
        <v>1</v>
      </c>
      <c r="J27" s="18">
        <v>78</v>
      </c>
      <c r="K27" s="18">
        <v>13</v>
      </c>
      <c r="L27" s="18">
        <v>0</v>
      </c>
      <c r="M27" s="18">
        <v>0</v>
      </c>
      <c r="N27" s="18">
        <v>3</v>
      </c>
      <c r="O27" s="18">
        <v>2</v>
      </c>
      <c r="P27" s="18">
        <v>0</v>
      </c>
      <c r="Q27" s="18">
        <v>1</v>
      </c>
      <c r="R27" s="18">
        <v>159</v>
      </c>
      <c r="S27" s="18">
        <v>0</v>
      </c>
      <c r="T27" s="18">
        <v>17</v>
      </c>
      <c r="U27" s="18">
        <v>3</v>
      </c>
      <c r="V27" s="17">
        <f t="shared" si="0"/>
        <v>287</v>
      </c>
      <c r="W27" s="18">
        <v>15</v>
      </c>
    </row>
    <row r="28" spans="1:23" x14ac:dyDescent="0.3">
      <c r="A28" s="15" t="s">
        <v>38</v>
      </c>
      <c r="B28" s="17">
        <v>418</v>
      </c>
      <c r="C28" s="17">
        <v>1</v>
      </c>
      <c r="D28" s="16">
        <v>64</v>
      </c>
      <c r="E28" s="16">
        <v>210</v>
      </c>
      <c r="F28" s="18">
        <v>285</v>
      </c>
      <c r="G28" s="18">
        <v>450</v>
      </c>
      <c r="H28" s="18">
        <v>25</v>
      </c>
      <c r="I28" s="18">
        <v>0</v>
      </c>
      <c r="J28" s="18">
        <v>81</v>
      </c>
      <c r="K28" s="18">
        <v>1</v>
      </c>
      <c r="L28" s="18">
        <v>1</v>
      </c>
      <c r="M28" s="18">
        <v>2</v>
      </c>
      <c r="N28" s="18">
        <v>2</v>
      </c>
      <c r="O28" s="18">
        <v>0</v>
      </c>
      <c r="P28" s="18">
        <v>0</v>
      </c>
      <c r="Q28" s="18">
        <v>2</v>
      </c>
      <c r="R28" s="18">
        <v>158</v>
      </c>
      <c r="S28" s="18">
        <v>0</v>
      </c>
      <c r="T28" s="18">
        <v>0</v>
      </c>
      <c r="U28" s="18">
        <v>2</v>
      </c>
      <c r="V28" s="17">
        <f t="shared" si="0"/>
        <v>274</v>
      </c>
      <c r="W28" s="18">
        <v>11</v>
      </c>
    </row>
    <row r="29" spans="1:23" x14ac:dyDescent="0.3">
      <c r="A29" s="15" t="s">
        <v>39</v>
      </c>
      <c r="B29" s="17">
        <v>324</v>
      </c>
      <c r="C29" s="17"/>
      <c r="D29" s="16">
        <v>41</v>
      </c>
      <c r="E29" s="16">
        <v>152</v>
      </c>
      <c r="F29" s="18">
        <v>187</v>
      </c>
      <c r="G29" s="18">
        <v>350</v>
      </c>
      <c r="H29" s="18">
        <v>14</v>
      </c>
      <c r="I29" s="18">
        <v>1</v>
      </c>
      <c r="J29" s="18">
        <v>58</v>
      </c>
      <c r="K29" s="18">
        <v>4</v>
      </c>
      <c r="L29" s="18">
        <v>0</v>
      </c>
      <c r="M29" s="18">
        <v>2</v>
      </c>
      <c r="N29" s="18">
        <v>4</v>
      </c>
      <c r="O29" s="18">
        <v>0</v>
      </c>
      <c r="P29" s="18">
        <v>0</v>
      </c>
      <c r="Q29" s="18">
        <v>0</v>
      </c>
      <c r="R29" s="18">
        <v>88</v>
      </c>
      <c r="S29" s="18">
        <v>1</v>
      </c>
      <c r="T29" s="18">
        <v>1</v>
      </c>
      <c r="U29" s="18">
        <v>1</v>
      </c>
      <c r="V29" s="17">
        <f t="shared" si="0"/>
        <v>174</v>
      </c>
      <c r="W29" s="18">
        <v>12</v>
      </c>
    </row>
    <row r="30" spans="1:23" x14ac:dyDescent="0.3">
      <c r="A30" s="15" t="s">
        <v>40</v>
      </c>
      <c r="B30" s="17">
        <v>266</v>
      </c>
      <c r="C30" s="17"/>
      <c r="D30" s="16">
        <v>52</v>
      </c>
      <c r="E30" s="16">
        <v>163</v>
      </c>
      <c r="F30" s="18">
        <v>175</v>
      </c>
      <c r="G30" s="18">
        <v>300</v>
      </c>
      <c r="H30" s="18">
        <v>6</v>
      </c>
      <c r="I30" s="18">
        <v>0</v>
      </c>
      <c r="J30" s="18">
        <v>82</v>
      </c>
      <c r="K30" s="18">
        <v>3</v>
      </c>
      <c r="L30" s="18">
        <v>0</v>
      </c>
      <c r="M30" s="18">
        <v>1</v>
      </c>
      <c r="N30" s="18">
        <v>1</v>
      </c>
      <c r="O30" s="18">
        <v>0</v>
      </c>
      <c r="P30" s="18">
        <v>0</v>
      </c>
      <c r="Q30" s="18">
        <v>10</v>
      </c>
      <c r="R30" s="18">
        <v>63</v>
      </c>
      <c r="S30" s="18">
        <v>0</v>
      </c>
      <c r="T30" s="18">
        <v>4</v>
      </c>
      <c r="U30" s="18">
        <v>0</v>
      </c>
      <c r="V30" s="17">
        <f t="shared" si="0"/>
        <v>170</v>
      </c>
      <c r="W30" s="18">
        <v>5</v>
      </c>
    </row>
    <row r="31" spans="1:23" x14ac:dyDescent="0.3">
      <c r="A31" s="15" t="s">
        <v>41</v>
      </c>
      <c r="B31" s="17">
        <v>211</v>
      </c>
      <c r="C31" s="17">
        <v>1</v>
      </c>
      <c r="D31" s="16">
        <v>50</v>
      </c>
      <c r="E31" s="16">
        <v>117</v>
      </c>
      <c r="F31" s="18">
        <v>149</v>
      </c>
      <c r="G31" s="18">
        <v>250</v>
      </c>
      <c r="H31" s="18">
        <v>3</v>
      </c>
      <c r="I31" s="18">
        <v>0</v>
      </c>
      <c r="J31" s="18">
        <v>30</v>
      </c>
      <c r="K31" s="18">
        <v>4</v>
      </c>
      <c r="L31" s="18">
        <v>0</v>
      </c>
      <c r="M31" s="18">
        <v>1</v>
      </c>
      <c r="N31" s="18">
        <v>0</v>
      </c>
      <c r="O31" s="18">
        <v>3</v>
      </c>
      <c r="P31" s="18">
        <v>1</v>
      </c>
      <c r="Q31" s="18">
        <v>19</v>
      </c>
      <c r="R31" s="18">
        <v>84</v>
      </c>
      <c r="S31" s="18">
        <v>0</v>
      </c>
      <c r="T31" s="18">
        <v>1</v>
      </c>
      <c r="U31" s="18">
        <v>0</v>
      </c>
      <c r="V31" s="17">
        <f t="shared" si="0"/>
        <v>146</v>
      </c>
      <c r="W31" s="18">
        <v>3</v>
      </c>
    </row>
    <row r="32" spans="1:23" s="20" customFormat="1" x14ac:dyDescent="0.3">
      <c r="A32" s="15" t="s">
        <v>42</v>
      </c>
      <c r="B32" s="17">
        <v>554</v>
      </c>
      <c r="C32" s="17">
        <v>1</v>
      </c>
      <c r="D32" s="16">
        <v>67</v>
      </c>
      <c r="E32" s="16">
        <v>255</v>
      </c>
      <c r="F32" s="18">
        <v>337</v>
      </c>
      <c r="G32" s="18">
        <v>500</v>
      </c>
      <c r="H32" s="18">
        <v>15</v>
      </c>
      <c r="I32" s="18">
        <v>0</v>
      </c>
      <c r="J32" s="18">
        <v>149</v>
      </c>
      <c r="K32" s="18">
        <v>7</v>
      </c>
      <c r="L32" s="18">
        <v>0</v>
      </c>
      <c r="M32" s="18">
        <v>19</v>
      </c>
      <c r="N32" s="18">
        <v>0</v>
      </c>
      <c r="O32" s="18">
        <v>0</v>
      </c>
      <c r="P32" s="18">
        <v>1</v>
      </c>
      <c r="Q32" s="18">
        <v>23</v>
      </c>
      <c r="R32" s="18">
        <v>108</v>
      </c>
      <c r="S32" s="18">
        <v>0</v>
      </c>
      <c r="T32" s="18">
        <v>6</v>
      </c>
      <c r="U32" s="18">
        <v>1</v>
      </c>
      <c r="V32" s="17">
        <f t="shared" si="0"/>
        <v>329</v>
      </c>
      <c r="W32" s="18">
        <v>7</v>
      </c>
    </row>
    <row r="33" spans="1:23" x14ac:dyDescent="0.3">
      <c r="A33" s="15" t="s">
        <v>43</v>
      </c>
      <c r="B33" s="17">
        <v>658</v>
      </c>
      <c r="C33" s="17">
        <v>10</v>
      </c>
      <c r="D33" s="16">
        <v>10</v>
      </c>
      <c r="E33" s="16">
        <v>10</v>
      </c>
      <c r="F33" s="18">
        <v>10</v>
      </c>
      <c r="G33" s="18">
        <v>600</v>
      </c>
      <c r="H33" s="18">
        <v>0</v>
      </c>
      <c r="I33" s="18">
        <v>0</v>
      </c>
      <c r="J33" s="18">
        <v>1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8</v>
      </c>
      <c r="S33" s="18">
        <v>0</v>
      </c>
      <c r="T33" s="18">
        <v>1</v>
      </c>
      <c r="U33" s="18">
        <v>0</v>
      </c>
      <c r="V33" s="17">
        <f t="shared" si="0"/>
        <v>10</v>
      </c>
      <c r="W33" s="18">
        <v>0</v>
      </c>
    </row>
    <row r="34" spans="1:23" x14ac:dyDescent="0.3">
      <c r="A34" s="15" t="s">
        <v>44</v>
      </c>
      <c r="B34" s="17">
        <v>341</v>
      </c>
      <c r="C34" s="17"/>
      <c r="D34" s="16">
        <v>57</v>
      </c>
      <c r="E34" s="16">
        <v>165</v>
      </c>
      <c r="F34" s="18">
        <v>192</v>
      </c>
      <c r="G34" s="18">
        <v>350</v>
      </c>
      <c r="H34" s="18">
        <v>8</v>
      </c>
      <c r="I34" s="18">
        <v>0</v>
      </c>
      <c r="J34" s="18">
        <v>49</v>
      </c>
      <c r="K34" s="18">
        <v>11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7</v>
      </c>
      <c r="R34" s="18">
        <v>98</v>
      </c>
      <c r="S34" s="18">
        <v>1</v>
      </c>
      <c r="T34" s="18">
        <v>11</v>
      </c>
      <c r="U34" s="18">
        <v>0</v>
      </c>
      <c r="V34" s="17">
        <f t="shared" ref="V34:V56" si="1">SUM(H34:U34)</f>
        <v>185</v>
      </c>
      <c r="W34" s="18">
        <v>7</v>
      </c>
    </row>
    <row r="35" spans="1:23" x14ac:dyDescent="0.3">
      <c r="A35" s="15" t="s">
        <v>45</v>
      </c>
      <c r="B35" s="17">
        <v>197</v>
      </c>
      <c r="C35" s="17">
        <v>2</v>
      </c>
      <c r="D35" s="16">
        <v>36</v>
      </c>
      <c r="E35" s="16">
        <v>89</v>
      </c>
      <c r="F35" s="18">
        <v>116</v>
      </c>
      <c r="G35" s="18">
        <v>200</v>
      </c>
      <c r="H35" s="18">
        <v>2</v>
      </c>
      <c r="I35" s="18">
        <v>0</v>
      </c>
      <c r="J35" s="18">
        <v>20</v>
      </c>
      <c r="K35" s="18">
        <v>1</v>
      </c>
      <c r="L35" s="18">
        <v>0</v>
      </c>
      <c r="M35" s="18">
        <v>1</v>
      </c>
      <c r="N35" s="18">
        <v>1</v>
      </c>
      <c r="O35" s="18">
        <v>0</v>
      </c>
      <c r="P35" s="18">
        <v>0</v>
      </c>
      <c r="Q35" s="18">
        <v>0</v>
      </c>
      <c r="R35" s="18">
        <v>88</v>
      </c>
      <c r="S35" s="18">
        <v>0</v>
      </c>
      <c r="T35" s="18">
        <v>0</v>
      </c>
      <c r="U35" s="18">
        <v>0</v>
      </c>
      <c r="V35" s="17">
        <f t="shared" si="1"/>
        <v>113</v>
      </c>
      <c r="W35" s="18">
        <v>3</v>
      </c>
    </row>
    <row r="36" spans="1:23" x14ac:dyDescent="0.3">
      <c r="A36" s="15" t="s">
        <v>46</v>
      </c>
      <c r="B36" s="17">
        <v>255</v>
      </c>
      <c r="C36" s="17">
        <v>1</v>
      </c>
      <c r="D36" s="16">
        <v>40</v>
      </c>
      <c r="E36" s="16">
        <v>134</v>
      </c>
      <c r="F36" s="18">
        <v>175</v>
      </c>
      <c r="G36" s="18">
        <v>300</v>
      </c>
      <c r="H36" s="18">
        <v>2</v>
      </c>
      <c r="I36" s="18">
        <v>0</v>
      </c>
      <c r="J36" s="18">
        <v>49</v>
      </c>
      <c r="K36" s="18">
        <v>1</v>
      </c>
      <c r="L36" s="18">
        <v>1</v>
      </c>
      <c r="M36" s="18">
        <v>1</v>
      </c>
      <c r="N36" s="18">
        <v>0</v>
      </c>
      <c r="O36" s="18">
        <v>1</v>
      </c>
      <c r="P36" s="18">
        <v>0</v>
      </c>
      <c r="Q36" s="18">
        <v>2</v>
      </c>
      <c r="R36" s="18">
        <v>113</v>
      </c>
      <c r="S36" s="18">
        <v>1</v>
      </c>
      <c r="T36" s="18">
        <v>1</v>
      </c>
      <c r="U36" s="18">
        <v>0</v>
      </c>
      <c r="V36" s="17">
        <f t="shared" si="1"/>
        <v>172</v>
      </c>
      <c r="W36" s="18">
        <v>3</v>
      </c>
    </row>
    <row r="37" spans="1:23" x14ac:dyDescent="0.3">
      <c r="A37" s="15" t="s">
        <v>47</v>
      </c>
      <c r="B37" s="17">
        <v>415</v>
      </c>
      <c r="C37" s="17">
        <v>1</v>
      </c>
      <c r="D37" s="16">
        <v>68</v>
      </c>
      <c r="E37" s="16">
        <v>230</v>
      </c>
      <c r="F37" s="18">
        <v>275</v>
      </c>
      <c r="G37" s="18">
        <v>450</v>
      </c>
      <c r="H37" s="18">
        <v>18</v>
      </c>
      <c r="I37" s="18">
        <v>1</v>
      </c>
      <c r="J37" s="18">
        <v>80</v>
      </c>
      <c r="K37" s="18">
        <v>6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4</v>
      </c>
      <c r="R37" s="18">
        <v>143</v>
      </c>
      <c r="S37" s="18">
        <v>0</v>
      </c>
      <c r="T37" s="18">
        <v>17</v>
      </c>
      <c r="U37" s="18">
        <v>1</v>
      </c>
      <c r="V37" s="17">
        <f t="shared" si="1"/>
        <v>270</v>
      </c>
      <c r="W37" s="18">
        <v>5</v>
      </c>
    </row>
    <row r="38" spans="1:23" x14ac:dyDescent="0.3">
      <c r="A38" s="15" t="s">
        <v>48</v>
      </c>
      <c r="B38" s="17">
        <v>411</v>
      </c>
      <c r="C38" s="17"/>
      <c r="D38" s="16">
        <v>75</v>
      </c>
      <c r="E38" s="16">
        <v>222</v>
      </c>
      <c r="F38" s="18">
        <v>259</v>
      </c>
      <c r="G38" s="18">
        <v>450</v>
      </c>
      <c r="H38" s="18">
        <v>74</v>
      </c>
      <c r="I38" s="18">
        <v>0</v>
      </c>
      <c r="J38" s="18">
        <v>51</v>
      </c>
      <c r="K38" s="18">
        <v>5</v>
      </c>
      <c r="L38" s="18">
        <v>0</v>
      </c>
      <c r="M38" s="18">
        <v>2</v>
      </c>
      <c r="N38" s="18">
        <v>1</v>
      </c>
      <c r="O38" s="18">
        <v>0</v>
      </c>
      <c r="P38" s="18">
        <v>0</v>
      </c>
      <c r="Q38" s="18">
        <v>0</v>
      </c>
      <c r="R38" s="18">
        <v>105</v>
      </c>
      <c r="S38" s="18">
        <v>0</v>
      </c>
      <c r="T38" s="18">
        <v>1</v>
      </c>
      <c r="U38" s="18">
        <v>0</v>
      </c>
      <c r="V38" s="17">
        <f t="shared" si="1"/>
        <v>239</v>
      </c>
      <c r="W38" s="18">
        <v>20</v>
      </c>
    </row>
    <row r="39" spans="1:23" x14ac:dyDescent="0.3">
      <c r="A39" s="15" t="s">
        <v>49</v>
      </c>
      <c r="B39" s="17">
        <v>224</v>
      </c>
      <c r="C39" s="17"/>
      <c r="D39" s="16">
        <v>40</v>
      </c>
      <c r="E39" s="16">
        <v>120</v>
      </c>
      <c r="F39" s="18">
        <v>148</v>
      </c>
      <c r="G39" s="18">
        <v>250</v>
      </c>
      <c r="H39" s="18">
        <v>36</v>
      </c>
      <c r="I39" s="18">
        <v>1</v>
      </c>
      <c r="J39" s="18">
        <v>43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59</v>
      </c>
      <c r="S39" s="18">
        <v>0</v>
      </c>
      <c r="T39" s="18">
        <v>1</v>
      </c>
      <c r="U39" s="18">
        <v>0</v>
      </c>
      <c r="V39" s="17">
        <f t="shared" si="1"/>
        <v>140</v>
      </c>
      <c r="W39" s="18">
        <v>8</v>
      </c>
    </row>
    <row r="40" spans="1:23" x14ac:dyDescent="0.3">
      <c r="A40" s="15" t="s">
        <v>50</v>
      </c>
      <c r="B40" s="17">
        <v>455</v>
      </c>
      <c r="C40" s="17">
        <v>1</v>
      </c>
      <c r="D40" s="16">
        <v>55</v>
      </c>
      <c r="E40" s="16">
        <v>201</v>
      </c>
      <c r="F40" s="18">
        <v>276</v>
      </c>
      <c r="G40" s="18">
        <v>450</v>
      </c>
      <c r="H40" s="18">
        <v>32</v>
      </c>
      <c r="I40" s="18">
        <v>2</v>
      </c>
      <c r="J40" s="18">
        <v>58</v>
      </c>
      <c r="K40" s="18">
        <v>1</v>
      </c>
      <c r="L40" s="18">
        <v>0</v>
      </c>
      <c r="M40" s="18">
        <v>2</v>
      </c>
      <c r="N40" s="18">
        <v>0</v>
      </c>
      <c r="O40" s="18">
        <v>1</v>
      </c>
      <c r="P40" s="18">
        <v>2</v>
      </c>
      <c r="Q40" s="18">
        <v>0</v>
      </c>
      <c r="R40" s="18">
        <v>153</v>
      </c>
      <c r="S40" s="18">
        <v>0</v>
      </c>
      <c r="T40" s="18">
        <v>2</v>
      </c>
      <c r="U40" s="18">
        <v>0</v>
      </c>
      <c r="V40" s="17">
        <f t="shared" si="1"/>
        <v>253</v>
      </c>
      <c r="W40" s="18">
        <v>23</v>
      </c>
    </row>
    <row r="41" spans="1:23" x14ac:dyDescent="0.3">
      <c r="A41" s="15" t="s">
        <v>51</v>
      </c>
      <c r="B41" s="17">
        <v>506</v>
      </c>
      <c r="C41" s="17"/>
      <c r="D41" s="16">
        <v>72</v>
      </c>
      <c r="E41" s="16">
        <v>244</v>
      </c>
      <c r="F41" s="18">
        <v>296</v>
      </c>
      <c r="G41" s="18">
        <v>500</v>
      </c>
      <c r="H41" s="18">
        <v>11</v>
      </c>
      <c r="I41" s="18">
        <v>0</v>
      </c>
      <c r="J41" s="18">
        <v>132</v>
      </c>
      <c r="K41" s="18">
        <v>3</v>
      </c>
      <c r="L41" s="18">
        <v>1</v>
      </c>
      <c r="M41" s="18">
        <v>3</v>
      </c>
      <c r="N41" s="18">
        <v>0</v>
      </c>
      <c r="O41" s="18">
        <v>2</v>
      </c>
      <c r="P41" s="18">
        <v>0</v>
      </c>
      <c r="Q41" s="18">
        <v>0</v>
      </c>
      <c r="R41" s="18">
        <v>124</v>
      </c>
      <c r="S41" s="18">
        <v>4</v>
      </c>
      <c r="T41" s="18">
        <v>4</v>
      </c>
      <c r="U41" s="18">
        <v>0</v>
      </c>
      <c r="V41" s="17">
        <f t="shared" si="1"/>
        <v>284</v>
      </c>
      <c r="W41" s="18">
        <v>12</v>
      </c>
    </row>
    <row r="42" spans="1:23" x14ac:dyDescent="0.3">
      <c r="A42" s="15" t="s">
        <v>52</v>
      </c>
      <c r="B42" s="17">
        <v>564</v>
      </c>
      <c r="C42" s="17">
        <v>1</v>
      </c>
      <c r="D42" s="16">
        <v>80</v>
      </c>
      <c r="E42" s="16">
        <v>203</v>
      </c>
      <c r="F42" s="18">
        <v>336</v>
      </c>
      <c r="G42" s="18">
        <v>550</v>
      </c>
      <c r="H42" s="18">
        <v>66</v>
      </c>
      <c r="I42" s="18">
        <v>1</v>
      </c>
      <c r="J42" s="18">
        <v>64</v>
      </c>
      <c r="K42" s="18">
        <v>5</v>
      </c>
      <c r="L42" s="18">
        <v>1</v>
      </c>
      <c r="M42" s="18">
        <v>0</v>
      </c>
      <c r="N42" s="18">
        <v>0</v>
      </c>
      <c r="O42" s="18">
        <v>1</v>
      </c>
      <c r="P42" s="18">
        <v>4</v>
      </c>
      <c r="Q42" s="18">
        <v>4</v>
      </c>
      <c r="R42" s="18">
        <v>155</v>
      </c>
      <c r="S42" s="18">
        <v>1</v>
      </c>
      <c r="T42" s="18">
        <v>7</v>
      </c>
      <c r="U42" s="18">
        <v>3</v>
      </c>
      <c r="V42" s="17">
        <f t="shared" si="1"/>
        <v>312</v>
      </c>
      <c r="W42" s="18">
        <v>24</v>
      </c>
    </row>
    <row r="43" spans="1:23" x14ac:dyDescent="0.3">
      <c r="A43" s="15" t="s">
        <v>53</v>
      </c>
      <c r="B43" s="17">
        <v>620</v>
      </c>
      <c r="C43" s="17"/>
      <c r="D43" s="16">
        <v>101</v>
      </c>
      <c r="E43" s="16">
        <v>321</v>
      </c>
      <c r="F43" s="18">
        <v>361</v>
      </c>
      <c r="G43" s="18">
        <v>550</v>
      </c>
      <c r="H43" s="18">
        <v>17</v>
      </c>
      <c r="I43" s="18">
        <v>1</v>
      </c>
      <c r="J43" s="18">
        <v>98</v>
      </c>
      <c r="K43" s="18">
        <v>15</v>
      </c>
      <c r="L43" s="18">
        <v>1</v>
      </c>
      <c r="M43" s="18">
        <v>4</v>
      </c>
      <c r="N43" s="18">
        <v>0</v>
      </c>
      <c r="O43" s="18">
        <v>0</v>
      </c>
      <c r="P43" s="18">
        <v>0</v>
      </c>
      <c r="Q43" s="18">
        <v>18</v>
      </c>
      <c r="R43" s="18">
        <v>186</v>
      </c>
      <c r="S43" s="18">
        <v>0</v>
      </c>
      <c r="T43" s="18">
        <v>8</v>
      </c>
      <c r="U43" s="18">
        <v>0</v>
      </c>
      <c r="V43" s="17">
        <f t="shared" si="1"/>
        <v>348</v>
      </c>
      <c r="W43" s="18">
        <v>13</v>
      </c>
    </row>
    <row r="44" spans="1:23" x14ac:dyDescent="0.3">
      <c r="A44" s="15" t="s">
        <v>54</v>
      </c>
      <c r="B44" s="17">
        <v>176</v>
      </c>
      <c r="C44" s="17"/>
      <c r="D44" s="16">
        <v>31</v>
      </c>
      <c r="E44" s="16">
        <v>89</v>
      </c>
      <c r="F44" s="18">
        <v>105</v>
      </c>
      <c r="G44" s="18">
        <v>200</v>
      </c>
      <c r="H44" s="18">
        <v>3</v>
      </c>
      <c r="I44" s="18">
        <v>0</v>
      </c>
      <c r="J44" s="18">
        <v>18</v>
      </c>
      <c r="K44" s="18">
        <v>8</v>
      </c>
      <c r="L44" s="18">
        <v>0</v>
      </c>
      <c r="M44" s="18">
        <v>1</v>
      </c>
      <c r="N44" s="18">
        <v>0</v>
      </c>
      <c r="O44" s="18">
        <v>0</v>
      </c>
      <c r="P44" s="18">
        <v>1</v>
      </c>
      <c r="Q44" s="18">
        <v>17</v>
      </c>
      <c r="R44" s="18">
        <v>48</v>
      </c>
      <c r="S44" s="18">
        <v>0</v>
      </c>
      <c r="T44" s="18">
        <v>1</v>
      </c>
      <c r="U44" s="18">
        <v>1</v>
      </c>
      <c r="V44" s="17">
        <f t="shared" si="1"/>
        <v>98</v>
      </c>
      <c r="W44" s="18">
        <v>7</v>
      </c>
    </row>
    <row r="45" spans="1:23" x14ac:dyDescent="0.3">
      <c r="A45" s="15" t="s">
        <v>55</v>
      </c>
      <c r="B45" s="17">
        <v>203</v>
      </c>
      <c r="C45" s="17">
        <v>1</v>
      </c>
      <c r="D45" s="16">
        <v>18</v>
      </c>
      <c r="E45" s="16">
        <v>88</v>
      </c>
      <c r="F45" s="18">
        <v>102</v>
      </c>
      <c r="G45" s="18">
        <v>200</v>
      </c>
      <c r="H45" s="18">
        <v>3</v>
      </c>
      <c r="I45" s="18">
        <v>0</v>
      </c>
      <c r="J45" s="18">
        <v>32</v>
      </c>
      <c r="K45" s="18">
        <v>4</v>
      </c>
      <c r="L45" s="18">
        <v>1</v>
      </c>
      <c r="M45" s="18">
        <v>0</v>
      </c>
      <c r="N45" s="18">
        <v>0</v>
      </c>
      <c r="O45" s="18">
        <v>0</v>
      </c>
      <c r="P45" s="18">
        <v>0</v>
      </c>
      <c r="Q45" s="18">
        <v>2</v>
      </c>
      <c r="R45" s="18">
        <v>56</v>
      </c>
      <c r="S45" s="18">
        <v>0</v>
      </c>
      <c r="T45" s="18">
        <v>1</v>
      </c>
      <c r="U45" s="18">
        <v>0</v>
      </c>
      <c r="V45" s="17">
        <f t="shared" si="1"/>
        <v>99</v>
      </c>
      <c r="W45" s="18">
        <v>3</v>
      </c>
    </row>
    <row r="46" spans="1:23" x14ac:dyDescent="0.3">
      <c r="A46" s="15" t="s">
        <v>56</v>
      </c>
      <c r="B46" s="17">
        <v>301</v>
      </c>
      <c r="C46" s="17">
        <v>11</v>
      </c>
      <c r="D46" s="16">
        <v>7</v>
      </c>
      <c r="E46" s="16">
        <v>9</v>
      </c>
      <c r="F46" s="18">
        <v>9</v>
      </c>
      <c r="G46" s="18">
        <v>300</v>
      </c>
      <c r="H46" s="18">
        <v>0</v>
      </c>
      <c r="I46" s="18">
        <v>0</v>
      </c>
      <c r="J46" s="18">
        <v>2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7</v>
      </c>
      <c r="S46" s="18">
        <v>0</v>
      </c>
      <c r="T46" s="18">
        <v>0</v>
      </c>
      <c r="U46" s="18">
        <v>0</v>
      </c>
      <c r="V46" s="17">
        <f t="shared" si="1"/>
        <v>9</v>
      </c>
      <c r="W46" s="18">
        <v>0</v>
      </c>
    </row>
    <row r="47" spans="1:23" x14ac:dyDescent="0.3">
      <c r="A47" s="15" t="s">
        <v>57</v>
      </c>
      <c r="B47" s="17">
        <v>276</v>
      </c>
      <c r="C47" s="17"/>
      <c r="D47" s="16">
        <v>50</v>
      </c>
      <c r="E47" s="16">
        <v>134</v>
      </c>
      <c r="F47" s="18">
        <v>173</v>
      </c>
      <c r="G47" s="18">
        <v>300</v>
      </c>
      <c r="H47" s="18">
        <v>12</v>
      </c>
      <c r="I47" s="18">
        <v>0</v>
      </c>
      <c r="J47" s="18">
        <v>51</v>
      </c>
      <c r="K47" s="18">
        <v>1</v>
      </c>
      <c r="L47" s="18">
        <v>1</v>
      </c>
      <c r="M47" s="18">
        <v>2</v>
      </c>
      <c r="N47" s="18">
        <v>1</v>
      </c>
      <c r="O47" s="18">
        <v>0</v>
      </c>
      <c r="P47" s="18">
        <v>0</v>
      </c>
      <c r="Q47" s="18">
        <v>4</v>
      </c>
      <c r="R47" s="18">
        <v>83</v>
      </c>
      <c r="S47" s="18">
        <v>2</v>
      </c>
      <c r="T47" s="18">
        <v>7</v>
      </c>
      <c r="U47" s="18">
        <v>1</v>
      </c>
      <c r="V47" s="17">
        <f t="shared" si="1"/>
        <v>165</v>
      </c>
      <c r="W47" s="18">
        <v>8</v>
      </c>
    </row>
    <row r="48" spans="1:23" x14ac:dyDescent="0.3">
      <c r="A48" s="15" t="s">
        <v>58</v>
      </c>
      <c r="B48" s="17">
        <v>137</v>
      </c>
      <c r="C48" s="17">
        <v>0</v>
      </c>
      <c r="D48" s="16">
        <v>34</v>
      </c>
      <c r="E48" s="16">
        <v>74</v>
      </c>
      <c r="F48" s="18">
        <v>105</v>
      </c>
      <c r="G48" s="18">
        <v>150</v>
      </c>
      <c r="H48" s="18">
        <v>4</v>
      </c>
      <c r="I48" s="18">
        <v>0</v>
      </c>
      <c r="J48" s="18">
        <v>50</v>
      </c>
      <c r="K48" s="18">
        <v>1</v>
      </c>
      <c r="L48" s="18">
        <v>1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46</v>
      </c>
      <c r="S48" s="18">
        <v>1</v>
      </c>
      <c r="T48" s="18">
        <v>0</v>
      </c>
      <c r="U48" s="18">
        <v>0</v>
      </c>
      <c r="V48" s="17">
        <f t="shared" si="1"/>
        <v>103</v>
      </c>
      <c r="W48" s="18">
        <v>2</v>
      </c>
    </row>
    <row r="49" spans="1:23" x14ac:dyDescent="0.3">
      <c r="A49" s="15" t="s">
        <v>59</v>
      </c>
      <c r="B49" s="17">
        <v>150</v>
      </c>
      <c r="C49" s="17">
        <v>2</v>
      </c>
      <c r="D49" s="16">
        <v>23</v>
      </c>
      <c r="E49" s="16">
        <v>74</v>
      </c>
      <c r="F49" s="18">
        <v>93</v>
      </c>
      <c r="G49" s="18">
        <v>150</v>
      </c>
      <c r="H49" s="18">
        <v>4</v>
      </c>
      <c r="I49" s="18">
        <v>0</v>
      </c>
      <c r="J49" s="18">
        <v>30</v>
      </c>
      <c r="K49" s="18">
        <v>1</v>
      </c>
      <c r="L49" s="18">
        <v>1</v>
      </c>
      <c r="M49" s="18">
        <v>0</v>
      </c>
      <c r="N49" s="18">
        <v>0</v>
      </c>
      <c r="O49" s="18">
        <v>0</v>
      </c>
      <c r="P49" s="18">
        <v>0</v>
      </c>
      <c r="Q49" s="18">
        <v>5</v>
      </c>
      <c r="R49" s="18">
        <v>48</v>
      </c>
      <c r="S49" s="18">
        <v>2</v>
      </c>
      <c r="T49" s="18">
        <v>1</v>
      </c>
      <c r="U49" s="18">
        <v>0</v>
      </c>
      <c r="V49" s="17">
        <f t="shared" si="1"/>
        <v>92</v>
      </c>
      <c r="W49" s="18">
        <v>1</v>
      </c>
    </row>
    <row r="50" spans="1:23" x14ac:dyDescent="0.3">
      <c r="A50" s="15" t="s">
        <v>60</v>
      </c>
      <c r="B50" s="17">
        <v>399</v>
      </c>
      <c r="C50" s="17"/>
      <c r="D50" s="16">
        <v>80</v>
      </c>
      <c r="E50" s="16">
        <v>209</v>
      </c>
      <c r="F50" s="18">
        <v>280</v>
      </c>
      <c r="G50" s="18">
        <v>400</v>
      </c>
      <c r="H50" s="18">
        <v>27</v>
      </c>
      <c r="I50" s="18">
        <v>0</v>
      </c>
      <c r="J50" s="18">
        <v>71</v>
      </c>
      <c r="K50" s="18">
        <v>14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138</v>
      </c>
      <c r="S50" s="18">
        <v>0</v>
      </c>
      <c r="T50" s="18">
        <v>8</v>
      </c>
      <c r="U50" s="18">
        <v>0</v>
      </c>
      <c r="V50" s="17">
        <f t="shared" si="1"/>
        <v>258</v>
      </c>
      <c r="W50" s="18">
        <v>22</v>
      </c>
    </row>
    <row r="51" spans="1:23" x14ac:dyDescent="0.3">
      <c r="A51" s="15" t="s">
        <v>61</v>
      </c>
      <c r="B51" s="17">
        <v>352</v>
      </c>
      <c r="C51" s="17"/>
      <c r="D51" s="16">
        <v>92</v>
      </c>
      <c r="E51" s="16">
        <v>185</v>
      </c>
      <c r="F51" s="18">
        <v>235</v>
      </c>
      <c r="G51" s="18">
        <v>350</v>
      </c>
      <c r="H51" s="18">
        <v>35</v>
      </c>
      <c r="I51" s="18">
        <v>4</v>
      </c>
      <c r="J51" s="18">
        <v>36</v>
      </c>
      <c r="K51" s="18">
        <v>1</v>
      </c>
      <c r="L51" s="18">
        <v>0</v>
      </c>
      <c r="M51" s="18">
        <v>2</v>
      </c>
      <c r="N51" s="18">
        <v>0</v>
      </c>
      <c r="O51" s="18">
        <v>0</v>
      </c>
      <c r="P51" s="18">
        <v>0</v>
      </c>
      <c r="Q51" s="18">
        <v>0</v>
      </c>
      <c r="R51" s="18">
        <v>139</v>
      </c>
      <c r="S51" s="18">
        <v>0</v>
      </c>
      <c r="T51" s="18">
        <v>6</v>
      </c>
      <c r="U51" s="18">
        <v>0</v>
      </c>
      <c r="V51" s="17">
        <f t="shared" si="1"/>
        <v>223</v>
      </c>
      <c r="W51" s="18">
        <v>10</v>
      </c>
    </row>
    <row r="52" spans="1:23" x14ac:dyDescent="0.3">
      <c r="A52" s="15" t="s">
        <v>62</v>
      </c>
      <c r="B52" s="17">
        <v>295</v>
      </c>
      <c r="C52" s="17">
        <v>1</v>
      </c>
      <c r="D52" s="16">
        <v>48</v>
      </c>
      <c r="E52" s="16">
        <v>175</v>
      </c>
      <c r="F52" s="18">
        <v>208</v>
      </c>
      <c r="G52" s="18">
        <v>300</v>
      </c>
      <c r="H52" s="18">
        <v>2</v>
      </c>
      <c r="I52" s="18">
        <v>0</v>
      </c>
      <c r="J52" s="18">
        <v>78</v>
      </c>
      <c r="K52" s="18">
        <v>3</v>
      </c>
      <c r="L52" s="18">
        <v>0</v>
      </c>
      <c r="M52" s="18">
        <v>0</v>
      </c>
      <c r="N52" s="18">
        <v>1</v>
      </c>
      <c r="O52" s="18">
        <v>0</v>
      </c>
      <c r="P52" s="18">
        <v>0</v>
      </c>
      <c r="Q52" s="18">
        <v>1</v>
      </c>
      <c r="R52" s="18">
        <v>99</v>
      </c>
      <c r="S52" s="18">
        <v>0</v>
      </c>
      <c r="T52" s="18">
        <v>11</v>
      </c>
      <c r="U52" s="18">
        <v>1</v>
      </c>
      <c r="V52" s="17">
        <f t="shared" si="1"/>
        <v>196</v>
      </c>
      <c r="W52" s="18">
        <v>11</v>
      </c>
    </row>
    <row r="53" spans="1:23" x14ac:dyDescent="0.3">
      <c r="A53" s="15" t="s">
        <v>63</v>
      </c>
      <c r="B53" s="17">
        <v>186</v>
      </c>
      <c r="C53" s="17"/>
      <c r="D53" s="16">
        <v>40</v>
      </c>
      <c r="E53" s="16">
        <v>99</v>
      </c>
      <c r="F53" s="18">
        <v>123</v>
      </c>
      <c r="G53" s="18">
        <v>200</v>
      </c>
      <c r="H53" s="18">
        <v>13</v>
      </c>
      <c r="I53" s="18">
        <v>1</v>
      </c>
      <c r="J53" s="18">
        <v>51</v>
      </c>
      <c r="K53" s="18">
        <v>0</v>
      </c>
      <c r="L53" s="18">
        <v>0</v>
      </c>
      <c r="M53" s="18">
        <v>0</v>
      </c>
      <c r="N53" s="18">
        <v>0</v>
      </c>
      <c r="O53" s="18">
        <v>3</v>
      </c>
      <c r="P53" s="18">
        <v>1</v>
      </c>
      <c r="Q53" s="18">
        <v>0</v>
      </c>
      <c r="R53" s="18">
        <v>50</v>
      </c>
      <c r="S53" s="18">
        <v>0</v>
      </c>
      <c r="T53" s="18">
        <v>1</v>
      </c>
      <c r="U53" s="18">
        <v>0</v>
      </c>
      <c r="V53" s="17">
        <f t="shared" si="1"/>
        <v>120</v>
      </c>
      <c r="W53" s="18">
        <v>3</v>
      </c>
    </row>
    <row r="54" spans="1:23" x14ac:dyDescent="0.3">
      <c r="A54" s="15" t="s">
        <v>114</v>
      </c>
      <c r="B54" s="17">
        <v>314</v>
      </c>
      <c r="C54" s="17">
        <v>1</v>
      </c>
      <c r="D54" s="16">
        <v>57</v>
      </c>
      <c r="E54" s="16">
        <v>156</v>
      </c>
      <c r="F54" s="18">
        <v>197</v>
      </c>
      <c r="G54" s="18">
        <v>300</v>
      </c>
      <c r="H54" s="18">
        <v>13</v>
      </c>
      <c r="I54" s="18">
        <v>0</v>
      </c>
      <c r="J54" s="18">
        <v>75</v>
      </c>
      <c r="K54" s="18">
        <v>7</v>
      </c>
      <c r="L54" s="18">
        <v>0</v>
      </c>
      <c r="M54" s="18">
        <v>2</v>
      </c>
      <c r="N54" s="18">
        <v>0</v>
      </c>
      <c r="O54" s="18">
        <v>2</v>
      </c>
      <c r="P54" s="18">
        <v>0</v>
      </c>
      <c r="Q54" s="18">
        <v>3</v>
      </c>
      <c r="R54" s="18">
        <v>87</v>
      </c>
      <c r="S54" s="18">
        <v>0</v>
      </c>
      <c r="T54" s="18">
        <v>2</v>
      </c>
      <c r="U54" s="18">
        <v>2</v>
      </c>
      <c r="V54" s="17">
        <f t="shared" si="1"/>
        <v>193</v>
      </c>
      <c r="W54" s="18">
        <v>4</v>
      </c>
    </row>
    <row r="55" spans="1:23" x14ac:dyDescent="0.3">
      <c r="A55" s="15" t="s">
        <v>115</v>
      </c>
      <c r="B55" s="17">
        <v>259</v>
      </c>
      <c r="C55" s="17">
        <v>1</v>
      </c>
      <c r="D55" s="16">
        <v>76</v>
      </c>
      <c r="E55" s="16">
        <v>191</v>
      </c>
      <c r="F55" s="18">
        <v>213</v>
      </c>
      <c r="G55" s="18">
        <v>350</v>
      </c>
      <c r="H55" s="18">
        <v>0</v>
      </c>
      <c r="I55" s="18">
        <v>0</v>
      </c>
      <c r="J55" s="18">
        <v>33</v>
      </c>
      <c r="K55" s="18">
        <v>13</v>
      </c>
      <c r="L55" s="18">
        <v>0</v>
      </c>
      <c r="M55" s="18">
        <v>7</v>
      </c>
      <c r="N55" s="18">
        <v>0</v>
      </c>
      <c r="O55" s="18">
        <v>0</v>
      </c>
      <c r="P55" s="18">
        <v>0</v>
      </c>
      <c r="Q55" s="18">
        <v>92</v>
      </c>
      <c r="R55" s="18">
        <v>57</v>
      </c>
      <c r="S55" s="18">
        <v>0</v>
      </c>
      <c r="T55" s="18">
        <v>1</v>
      </c>
      <c r="U55" s="18">
        <v>0</v>
      </c>
      <c r="V55" s="17">
        <f t="shared" si="1"/>
        <v>203</v>
      </c>
      <c r="W55" s="18">
        <v>9</v>
      </c>
    </row>
    <row r="56" spans="1:23" x14ac:dyDescent="0.3">
      <c r="A56" s="15" t="s">
        <v>116</v>
      </c>
      <c r="B56" s="17"/>
      <c r="C56" s="17">
        <v>34</v>
      </c>
      <c r="D56" s="16">
        <v>17</v>
      </c>
      <c r="E56" s="16">
        <v>29</v>
      </c>
      <c r="F56" s="18">
        <v>30</v>
      </c>
      <c r="G56" s="18">
        <v>50</v>
      </c>
      <c r="H56" s="18">
        <v>0</v>
      </c>
      <c r="I56" s="18">
        <v>0</v>
      </c>
      <c r="J56" s="18">
        <v>5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24</v>
      </c>
      <c r="S56" s="18">
        <v>0</v>
      </c>
      <c r="T56" s="18">
        <v>0</v>
      </c>
      <c r="U56" s="18">
        <v>0</v>
      </c>
      <c r="V56" s="17">
        <f t="shared" si="1"/>
        <v>29</v>
      </c>
      <c r="W56" s="18">
        <v>1</v>
      </c>
    </row>
  </sheetData>
  <conditionalFormatting sqref="F55:F56 F2:F30">
    <cfRule type="expression" dxfId="11" priority="8">
      <formula>F2&lt;E2</formula>
    </cfRule>
  </conditionalFormatting>
  <conditionalFormatting sqref="F31:F50 F52:F53">
    <cfRule type="expression" dxfId="10" priority="7">
      <formula>F31&lt;E31</formula>
    </cfRule>
  </conditionalFormatting>
  <conditionalFormatting sqref="F51">
    <cfRule type="expression" dxfId="9" priority="6">
      <formula>F51&lt;E51</formula>
    </cfRule>
  </conditionalFormatting>
  <conditionalFormatting sqref="F54">
    <cfRule type="expression" dxfId="8" priority="5">
      <formula>F54&lt;E54</formula>
    </cfRule>
  </conditionalFormatting>
  <conditionalFormatting sqref="E55:E56 E2:E11 E13:E30">
    <cfRule type="expression" dxfId="7" priority="4">
      <formula>E2&lt;D2</formula>
    </cfRule>
  </conditionalFormatting>
  <conditionalFormatting sqref="E31:E50 E52:E53">
    <cfRule type="expression" dxfId="6" priority="3">
      <formula>E31&lt;D31</formula>
    </cfRule>
  </conditionalFormatting>
  <conditionalFormatting sqref="E51">
    <cfRule type="expression" dxfId="5" priority="2">
      <formula>E51&lt;D51</formula>
    </cfRule>
  </conditionalFormatting>
  <conditionalFormatting sqref="E54">
    <cfRule type="expression" dxfId="4" priority="1">
      <formula>E54&lt;D54</formula>
    </cfRule>
  </conditionalFormatting>
  <pageMargins left="0.2" right="0.2" top="0.25" bottom="0.25" header="0.3" footer="0.3"/>
  <pageSetup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AE57"/>
  <sheetViews>
    <sheetView tabSelected="1" zoomScaleNormal="100" workbookViewId="0"/>
  </sheetViews>
  <sheetFormatPr defaultRowHeight="14.4" x14ac:dyDescent="0.3"/>
  <cols>
    <col min="1" max="1" width="7.6640625" style="30" customWidth="1"/>
    <col min="2" max="7" width="7" style="30" customWidth="1"/>
    <col min="8" max="8" width="6.6640625" style="29" customWidth="1"/>
    <col min="9" max="9" width="6.33203125" style="29" customWidth="1"/>
    <col min="10" max="10" width="6.109375" style="29" customWidth="1"/>
    <col min="11" max="11" width="7" style="29" customWidth="1"/>
    <col min="12" max="12" width="6" style="29" customWidth="1"/>
    <col min="13" max="13" width="6.109375" style="29" customWidth="1"/>
    <col min="14" max="14" width="6" style="29" customWidth="1"/>
    <col min="15" max="15" width="6.109375" style="29" customWidth="1"/>
    <col min="16" max="16" width="6" style="29" customWidth="1"/>
    <col min="17" max="17" width="7" style="29" customWidth="1"/>
    <col min="18" max="18" width="6.33203125" style="29" customWidth="1"/>
    <col min="19" max="19" width="6" style="29" customWidth="1"/>
    <col min="20" max="20" width="7" style="29" customWidth="1"/>
    <col min="21" max="21" width="5.21875" style="29" customWidth="1"/>
    <col min="22" max="22" width="5.77734375" style="29" customWidth="1"/>
    <col min="23" max="23" width="5" style="29" customWidth="1"/>
    <col min="24" max="24" width="7" style="29" customWidth="1"/>
    <col min="25" max="25" width="5.21875" style="29" customWidth="1"/>
    <col min="26" max="28" width="5.6640625" style="29" customWidth="1"/>
    <col min="29" max="29" width="5.21875" style="29" customWidth="1"/>
    <col min="30" max="30" width="7" style="29" customWidth="1"/>
    <col min="31" max="31" width="5.6640625" style="29" customWidth="1"/>
  </cols>
  <sheetData>
    <row r="1" spans="1:31" s="43" customFormat="1" ht="15" customHeight="1" x14ac:dyDescent="0.3">
      <c r="A1" s="38" t="s">
        <v>0</v>
      </c>
      <c r="B1" s="39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10</v>
      </c>
      <c r="H1" s="23" t="s">
        <v>117</v>
      </c>
      <c r="I1" s="23" t="s">
        <v>118</v>
      </c>
      <c r="J1" s="23" t="s">
        <v>119</v>
      </c>
      <c r="K1" s="23" t="s">
        <v>120</v>
      </c>
      <c r="L1" s="23" t="s">
        <v>121</v>
      </c>
      <c r="M1" s="23" t="s">
        <v>122</v>
      </c>
      <c r="N1" s="23" t="s">
        <v>123</v>
      </c>
      <c r="O1" s="23" t="s">
        <v>124</v>
      </c>
      <c r="P1" s="23" t="s">
        <v>125</v>
      </c>
      <c r="Q1" s="23" t="s">
        <v>126</v>
      </c>
      <c r="R1" s="23" t="s">
        <v>127</v>
      </c>
      <c r="S1" s="23" t="s">
        <v>128</v>
      </c>
      <c r="T1" s="23" t="s">
        <v>129</v>
      </c>
      <c r="U1" s="23" t="s">
        <v>130</v>
      </c>
      <c r="V1" s="23" t="s">
        <v>131</v>
      </c>
      <c r="W1" s="23" t="s">
        <v>132</v>
      </c>
      <c r="X1" s="23" t="s">
        <v>133</v>
      </c>
      <c r="Y1" s="23" t="s">
        <v>134</v>
      </c>
      <c r="Z1" s="23" t="s">
        <v>135</v>
      </c>
      <c r="AA1" s="23" t="s">
        <v>136</v>
      </c>
      <c r="AB1" s="23" t="s">
        <v>137</v>
      </c>
      <c r="AC1" s="23" t="s">
        <v>138</v>
      </c>
      <c r="AD1" s="42" t="s">
        <v>7</v>
      </c>
      <c r="AE1" s="41" t="s">
        <v>6</v>
      </c>
    </row>
    <row r="2" spans="1:31" x14ac:dyDescent="0.3">
      <c r="A2" s="24" t="s">
        <v>12</v>
      </c>
      <c r="B2" s="25">
        <v>926</v>
      </c>
      <c r="C2" s="25">
        <v>7</v>
      </c>
      <c r="D2" s="26">
        <v>207</v>
      </c>
      <c r="E2" s="26">
        <v>528</v>
      </c>
      <c r="F2" s="26">
        <v>646</v>
      </c>
      <c r="G2" s="26">
        <v>850</v>
      </c>
      <c r="H2" s="26">
        <v>34</v>
      </c>
      <c r="I2" s="26">
        <v>15</v>
      </c>
      <c r="J2" s="26">
        <v>0</v>
      </c>
      <c r="K2" s="26">
        <v>198</v>
      </c>
      <c r="L2" s="26">
        <v>12</v>
      </c>
      <c r="M2" s="26">
        <v>1</v>
      </c>
      <c r="N2" s="26">
        <v>0</v>
      </c>
      <c r="O2" s="26">
        <v>0</v>
      </c>
      <c r="P2" s="26">
        <v>3</v>
      </c>
      <c r="Q2" s="26">
        <v>0</v>
      </c>
      <c r="R2" s="26">
        <v>5</v>
      </c>
      <c r="S2" s="26">
        <v>0</v>
      </c>
      <c r="T2" s="26">
        <v>16</v>
      </c>
      <c r="U2" s="26">
        <v>0</v>
      </c>
      <c r="V2" s="26">
        <v>3</v>
      </c>
      <c r="W2" s="26">
        <v>9</v>
      </c>
      <c r="X2" s="26">
        <v>295</v>
      </c>
      <c r="Y2" s="26">
        <v>2</v>
      </c>
      <c r="Z2" s="26">
        <v>2</v>
      </c>
      <c r="AA2" s="26">
        <v>0</v>
      </c>
      <c r="AB2" s="26">
        <v>31</v>
      </c>
      <c r="AC2" s="26">
        <v>0</v>
      </c>
      <c r="AD2" s="27">
        <f t="shared" ref="AD2:AD33" si="0">SUM(H2:AC2)</f>
        <v>626</v>
      </c>
      <c r="AE2" s="26">
        <v>19</v>
      </c>
    </row>
    <row r="3" spans="1:31" x14ac:dyDescent="0.3">
      <c r="A3" s="24" t="s">
        <v>13</v>
      </c>
      <c r="B3" s="25">
        <v>497</v>
      </c>
      <c r="C3" s="25"/>
      <c r="D3" s="26">
        <v>70</v>
      </c>
      <c r="E3" s="26">
        <v>261</v>
      </c>
      <c r="F3" s="26">
        <v>324</v>
      </c>
      <c r="G3" s="26">
        <v>500</v>
      </c>
      <c r="H3" s="26">
        <v>26</v>
      </c>
      <c r="I3" s="26">
        <v>2</v>
      </c>
      <c r="J3" s="26">
        <v>0</v>
      </c>
      <c r="K3" s="26">
        <v>88</v>
      </c>
      <c r="L3" s="26">
        <v>3</v>
      </c>
      <c r="M3" s="26">
        <v>0</v>
      </c>
      <c r="N3" s="26">
        <v>0</v>
      </c>
      <c r="O3" s="26">
        <v>0</v>
      </c>
      <c r="P3" s="26">
        <v>0</v>
      </c>
      <c r="Q3" s="26">
        <v>2</v>
      </c>
      <c r="R3" s="26">
        <v>0</v>
      </c>
      <c r="S3" s="26">
        <v>0</v>
      </c>
      <c r="T3" s="26">
        <v>1</v>
      </c>
      <c r="U3" s="26">
        <v>0</v>
      </c>
      <c r="V3" s="26">
        <v>0</v>
      </c>
      <c r="W3" s="26">
        <v>0</v>
      </c>
      <c r="X3" s="26">
        <v>152</v>
      </c>
      <c r="Y3" s="26">
        <v>1</v>
      </c>
      <c r="Z3" s="26">
        <v>0</v>
      </c>
      <c r="AA3" s="26">
        <v>1</v>
      </c>
      <c r="AB3" s="26">
        <v>3</v>
      </c>
      <c r="AC3" s="26">
        <v>0</v>
      </c>
      <c r="AD3" s="27">
        <f t="shared" si="0"/>
        <v>279</v>
      </c>
      <c r="AE3" s="26">
        <v>45</v>
      </c>
    </row>
    <row r="4" spans="1:31" x14ac:dyDescent="0.3">
      <c r="A4" s="24" t="s">
        <v>14</v>
      </c>
      <c r="B4" s="25">
        <v>370</v>
      </c>
      <c r="C4" s="25"/>
      <c r="D4" s="26">
        <v>48</v>
      </c>
      <c r="E4" s="26">
        <v>153</v>
      </c>
      <c r="F4" s="26">
        <v>212</v>
      </c>
      <c r="G4" s="26">
        <v>400</v>
      </c>
      <c r="H4" s="26">
        <v>10</v>
      </c>
      <c r="I4" s="26">
        <v>3</v>
      </c>
      <c r="J4" s="26">
        <v>2</v>
      </c>
      <c r="K4" s="26">
        <v>71</v>
      </c>
      <c r="L4" s="26">
        <v>10</v>
      </c>
      <c r="M4" s="26">
        <v>0</v>
      </c>
      <c r="N4" s="26">
        <v>1</v>
      </c>
      <c r="O4" s="26">
        <v>0</v>
      </c>
      <c r="P4" s="26">
        <v>0</v>
      </c>
      <c r="Q4" s="26">
        <v>0</v>
      </c>
      <c r="R4" s="26">
        <v>0</v>
      </c>
      <c r="S4" s="26">
        <v>1</v>
      </c>
      <c r="T4" s="26">
        <v>2</v>
      </c>
      <c r="U4" s="26">
        <v>1</v>
      </c>
      <c r="V4" s="26">
        <v>0</v>
      </c>
      <c r="W4" s="26">
        <v>1</v>
      </c>
      <c r="X4" s="26">
        <v>102</v>
      </c>
      <c r="Y4" s="26">
        <v>0</v>
      </c>
      <c r="Z4" s="26">
        <v>0</v>
      </c>
      <c r="AA4" s="26">
        <v>0</v>
      </c>
      <c r="AB4" s="26">
        <v>3</v>
      </c>
      <c r="AC4" s="26">
        <v>0</v>
      </c>
      <c r="AD4" s="27">
        <f t="shared" si="0"/>
        <v>207</v>
      </c>
      <c r="AE4" s="26">
        <v>5</v>
      </c>
    </row>
    <row r="5" spans="1:31" x14ac:dyDescent="0.3">
      <c r="A5" s="24" t="s">
        <v>15</v>
      </c>
      <c r="B5" s="25">
        <v>900</v>
      </c>
      <c r="C5" s="25">
        <v>1</v>
      </c>
      <c r="D5" s="26">
        <v>162</v>
      </c>
      <c r="E5" s="26">
        <v>462</v>
      </c>
      <c r="F5" s="26">
        <v>578</v>
      </c>
      <c r="G5" s="26">
        <v>850</v>
      </c>
      <c r="H5" s="26">
        <v>27</v>
      </c>
      <c r="I5" s="26">
        <v>5</v>
      </c>
      <c r="J5" s="26">
        <v>0</v>
      </c>
      <c r="K5" s="26">
        <v>213</v>
      </c>
      <c r="L5" s="26">
        <v>4</v>
      </c>
      <c r="M5" s="26">
        <v>1</v>
      </c>
      <c r="N5" s="26">
        <v>1</v>
      </c>
      <c r="O5" s="26">
        <v>1</v>
      </c>
      <c r="P5" s="26">
        <v>1</v>
      </c>
      <c r="Q5" s="26">
        <v>1</v>
      </c>
      <c r="R5" s="26">
        <v>2</v>
      </c>
      <c r="S5" s="26">
        <v>0</v>
      </c>
      <c r="T5" s="26">
        <v>17</v>
      </c>
      <c r="U5" s="26">
        <v>0</v>
      </c>
      <c r="V5" s="26">
        <v>2</v>
      </c>
      <c r="W5" s="26">
        <v>8</v>
      </c>
      <c r="X5" s="26">
        <v>266</v>
      </c>
      <c r="Y5" s="26">
        <v>2</v>
      </c>
      <c r="Z5" s="26">
        <v>1</v>
      </c>
      <c r="AA5" s="26">
        <v>2</v>
      </c>
      <c r="AB5" s="26">
        <v>10</v>
      </c>
      <c r="AC5" s="26">
        <v>0</v>
      </c>
      <c r="AD5" s="27">
        <f t="shared" si="0"/>
        <v>564</v>
      </c>
      <c r="AE5" s="26">
        <v>14</v>
      </c>
    </row>
    <row r="6" spans="1:31" x14ac:dyDescent="0.3">
      <c r="A6" s="24" t="s">
        <v>16</v>
      </c>
      <c r="B6" s="25">
        <v>554</v>
      </c>
      <c r="C6" s="25">
        <v>2</v>
      </c>
      <c r="D6" s="26">
        <v>87</v>
      </c>
      <c r="E6" s="26">
        <v>294</v>
      </c>
      <c r="F6" s="26">
        <v>361</v>
      </c>
      <c r="G6" s="26">
        <v>500</v>
      </c>
      <c r="H6" s="26">
        <v>23</v>
      </c>
      <c r="I6" s="26">
        <v>2</v>
      </c>
      <c r="J6" s="26">
        <v>0</v>
      </c>
      <c r="K6" s="26">
        <v>113</v>
      </c>
      <c r="L6" s="26">
        <v>4</v>
      </c>
      <c r="M6" s="26">
        <v>1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1</v>
      </c>
      <c r="T6" s="26">
        <v>9</v>
      </c>
      <c r="U6" s="26">
        <v>0</v>
      </c>
      <c r="V6" s="26">
        <v>1</v>
      </c>
      <c r="W6" s="26">
        <v>0</v>
      </c>
      <c r="X6" s="26">
        <v>194</v>
      </c>
      <c r="Y6" s="26">
        <v>1</v>
      </c>
      <c r="Z6" s="26">
        <v>0</v>
      </c>
      <c r="AA6" s="26">
        <v>0</v>
      </c>
      <c r="AB6" s="26">
        <v>6</v>
      </c>
      <c r="AC6" s="26">
        <v>0</v>
      </c>
      <c r="AD6" s="27">
        <f t="shared" si="0"/>
        <v>355</v>
      </c>
      <c r="AE6" s="26">
        <v>6</v>
      </c>
    </row>
    <row r="7" spans="1:31" x14ac:dyDescent="0.3">
      <c r="A7" s="24" t="s">
        <v>17</v>
      </c>
      <c r="B7" s="25">
        <v>386</v>
      </c>
      <c r="C7" s="25">
        <v>1</v>
      </c>
      <c r="D7" s="26">
        <v>61</v>
      </c>
      <c r="E7" s="26">
        <v>173</v>
      </c>
      <c r="F7" s="26">
        <v>227</v>
      </c>
      <c r="G7" s="26">
        <v>400</v>
      </c>
      <c r="H7" s="26">
        <v>9</v>
      </c>
      <c r="I7" s="26">
        <v>2</v>
      </c>
      <c r="J7" s="26">
        <v>0</v>
      </c>
      <c r="K7" s="26">
        <v>63</v>
      </c>
      <c r="L7" s="26">
        <v>8</v>
      </c>
      <c r="M7" s="26">
        <v>4</v>
      </c>
      <c r="N7" s="26">
        <v>0</v>
      </c>
      <c r="O7" s="26">
        <v>0</v>
      </c>
      <c r="P7" s="26">
        <v>0</v>
      </c>
      <c r="Q7" s="26">
        <v>2</v>
      </c>
      <c r="R7" s="26">
        <v>0</v>
      </c>
      <c r="S7" s="26">
        <v>0</v>
      </c>
      <c r="T7" s="26">
        <v>5</v>
      </c>
      <c r="U7" s="26">
        <v>0</v>
      </c>
      <c r="V7" s="26">
        <v>0</v>
      </c>
      <c r="W7" s="26">
        <v>5</v>
      </c>
      <c r="X7" s="26">
        <v>105</v>
      </c>
      <c r="Y7" s="26">
        <v>1</v>
      </c>
      <c r="Z7" s="26">
        <v>0</v>
      </c>
      <c r="AA7" s="26">
        <v>0</v>
      </c>
      <c r="AB7" s="26">
        <v>12</v>
      </c>
      <c r="AC7" s="26">
        <v>1</v>
      </c>
      <c r="AD7" s="27">
        <f t="shared" si="0"/>
        <v>217</v>
      </c>
      <c r="AE7" s="26">
        <v>9</v>
      </c>
    </row>
    <row r="8" spans="1:31" x14ac:dyDescent="0.3">
      <c r="A8" s="24" t="s">
        <v>18</v>
      </c>
      <c r="B8" s="25">
        <v>616</v>
      </c>
      <c r="C8" s="25">
        <v>1</v>
      </c>
      <c r="D8" s="26">
        <v>86</v>
      </c>
      <c r="E8" s="26">
        <v>295</v>
      </c>
      <c r="F8" s="26">
        <v>380</v>
      </c>
      <c r="G8" s="26">
        <v>600</v>
      </c>
      <c r="H8" s="26">
        <v>40</v>
      </c>
      <c r="I8" s="26">
        <v>5</v>
      </c>
      <c r="J8" s="26">
        <v>0</v>
      </c>
      <c r="K8" s="26">
        <v>112</v>
      </c>
      <c r="L8" s="26">
        <v>11</v>
      </c>
      <c r="M8" s="26">
        <v>5</v>
      </c>
      <c r="N8" s="26">
        <v>5</v>
      </c>
      <c r="O8" s="26">
        <v>1</v>
      </c>
      <c r="P8" s="26">
        <v>0</v>
      </c>
      <c r="Q8" s="26">
        <v>4</v>
      </c>
      <c r="R8" s="26">
        <v>0</v>
      </c>
      <c r="S8" s="26">
        <v>1</v>
      </c>
      <c r="T8" s="26">
        <v>21</v>
      </c>
      <c r="U8" s="26">
        <v>0</v>
      </c>
      <c r="V8" s="26">
        <v>0</v>
      </c>
      <c r="W8" s="26">
        <v>8</v>
      </c>
      <c r="X8" s="26">
        <v>129</v>
      </c>
      <c r="Y8" s="26">
        <v>0</v>
      </c>
      <c r="Z8" s="26">
        <v>0</v>
      </c>
      <c r="AA8" s="26">
        <v>3</v>
      </c>
      <c r="AB8" s="26">
        <v>23</v>
      </c>
      <c r="AC8" s="26">
        <v>0</v>
      </c>
      <c r="AD8" s="27">
        <f t="shared" si="0"/>
        <v>368</v>
      </c>
      <c r="AE8" s="26">
        <v>11</v>
      </c>
    </row>
    <row r="9" spans="1:31" x14ac:dyDescent="0.3">
      <c r="A9" s="24" t="s">
        <v>19</v>
      </c>
      <c r="B9" s="25">
        <v>461</v>
      </c>
      <c r="C9" s="25"/>
      <c r="D9" s="26">
        <v>87</v>
      </c>
      <c r="E9" s="26">
        <v>220</v>
      </c>
      <c r="F9" s="26">
        <v>296</v>
      </c>
      <c r="G9" s="26">
        <v>500</v>
      </c>
      <c r="H9" s="26">
        <v>43</v>
      </c>
      <c r="I9" s="26">
        <v>0</v>
      </c>
      <c r="J9" s="26">
        <v>0</v>
      </c>
      <c r="K9" s="26">
        <v>85</v>
      </c>
      <c r="L9" s="26">
        <v>10</v>
      </c>
      <c r="M9" s="26">
        <v>1</v>
      </c>
      <c r="N9" s="26">
        <v>0</v>
      </c>
      <c r="O9" s="26">
        <v>1</v>
      </c>
      <c r="P9" s="26">
        <v>0</v>
      </c>
      <c r="Q9" s="26">
        <v>1</v>
      </c>
      <c r="R9" s="26">
        <v>1</v>
      </c>
      <c r="S9" s="26">
        <v>0</v>
      </c>
      <c r="T9" s="26">
        <v>7</v>
      </c>
      <c r="U9" s="26">
        <v>1</v>
      </c>
      <c r="V9" s="26">
        <v>1</v>
      </c>
      <c r="W9" s="26">
        <v>1</v>
      </c>
      <c r="X9" s="26">
        <v>118</v>
      </c>
      <c r="Y9" s="26">
        <v>0</v>
      </c>
      <c r="Z9" s="26">
        <v>0</v>
      </c>
      <c r="AA9" s="26">
        <v>11</v>
      </c>
      <c r="AB9" s="26">
        <v>7</v>
      </c>
      <c r="AC9" s="26">
        <v>0</v>
      </c>
      <c r="AD9" s="27">
        <f t="shared" si="0"/>
        <v>288</v>
      </c>
      <c r="AE9" s="26">
        <v>8</v>
      </c>
    </row>
    <row r="10" spans="1:31" x14ac:dyDescent="0.3">
      <c r="A10" s="24" t="s">
        <v>20</v>
      </c>
      <c r="B10" s="25">
        <v>696</v>
      </c>
      <c r="C10" s="25">
        <v>3</v>
      </c>
      <c r="D10" s="26">
        <v>112</v>
      </c>
      <c r="E10" s="26">
        <v>331</v>
      </c>
      <c r="F10" s="26">
        <v>436</v>
      </c>
      <c r="G10" s="26">
        <v>650</v>
      </c>
      <c r="H10" s="26">
        <v>16</v>
      </c>
      <c r="I10" s="26">
        <v>9</v>
      </c>
      <c r="J10" s="26">
        <v>1</v>
      </c>
      <c r="K10" s="26">
        <v>154</v>
      </c>
      <c r="L10" s="26">
        <v>10</v>
      </c>
      <c r="M10" s="26">
        <v>0</v>
      </c>
      <c r="N10" s="26">
        <v>2</v>
      </c>
      <c r="O10" s="26">
        <v>1</v>
      </c>
      <c r="P10" s="26">
        <v>0</v>
      </c>
      <c r="Q10" s="26">
        <v>1</v>
      </c>
      <c r="R10" s="26">
        <v>3</v>
      </c>
      <c r="S10" s="26">
        <v>0</v>
      </c>
      <c r="T10" s="26">
        <v>4</v>
      </c>
      <c r="U10" s="26">
        <v>1</v>
      </c>
      <c r="V10" s="26">
        <v>1</v>
      </c>
      <c r="W10" s="26">
        <v>3</v>
      </c>
      <c r="X10" s="26">
        <v>194</v>
      </c>
      <c r="Y10" s="26">
        <v>2</v>
      </c>
      <c r="Z10" s="26">
        <v>0</v>
      </c>
      <c r="AA10" s="26">
        <v>0</v>
      </c>
      <c r="AB10" s="26">
        <v>28</v>
      </c>
      <c r="AC10" s="26">
        <v>1</v>
      </c>
      <c r="AD10" s="27">
        <f t="shared" si="0"/>
        <v>431</v>
      </c>
      <c r="AE10" s="26">
        <v>3</v>
      </c>
    </row>
    <row r="11" spans="1:31" x14ac:dyDescent="0.3">
      <c r="A11" s="24" t="s">
        <v>21</v>
      </c>
      <c r="B11" s="25">
        <v>442</v>
      </c>
      <c r="C11" s="25">
        <v>1</v>
      </c>
      <c r="D11" s="26">
        <v>79</v>
      </c>
      <c r="E11" s="26">
        <v>271</v>
      </c>
      <c r="F11" s="26">
        <v>295</v>
      </c>
      <c r="G11" s="26">
        <v>450</v>
      </c>
      <c r="H11" s="26">
        <v>15</v>
      </c>
      <c r="I11" s="26">
        <v>7</v>
      </c>
      <c r="J11" s="26">
        <v>0</v>
      </c>
      <c r="K11" s="26">
        <v>108</v>
      </c>
      <c r="L11" s="26">
        <v>15</v>
      </c>
      <c r="M11" s="26">
        <v>0</v>
      </c>
      <c r="N11" s="26">
        <v>1</v>
      </c>
      <c r="O11" s="26">
        <v>1</v>
      </c>
      <c r="P11" s="26">
        <v>0</v>
      </c>
      <c r="Q11" s="26">
        <v>0</v>
      </c>
      <c r="R11" s="26">
        <v>2</v>
      </c>
      <c r="S11" s="26">
        <v>0</v>
      </c>
      <c r="T11" s="26">
        <v>10</v>
      </c>
      <c r="U11" s="26">
        <v>0</v>
      </c>
      <c r="V11" s="26">
        <v>0</v>
      </c>
      <c r="W11" s="26">
        <v>0</v>
      </c>
      <c r="X11" s="26">
        <v>102</v>
      </c>
      <c r="Y11" s="26">
        <v>0</v>
      </c>
      <c r="Z11" s="26">
        <v>0</v>
      </c>
      <c r="AA11" s="26">
        <v>3</v>
      </c>
      <c r="AB11" s="26">
        <v>15</v>
      </c>
      <c r="AC11" s="26">
        <v>1</v>
      </c>
      <c r="AD11" s="27">
        <f t="shared" si="0"/>
        <v>280</v>
      </c>
      <c r="AE11" s="26">
        <v>15</v>
      </c>
    </row>
    <row r="12" spans="1:31" x14ac:dyDescent="0.3">
      <c r="A12" s="24" t="s">
        <v>22</v>
      </c>
      <c r="B12" s="25">
        <v>651</v>
      </c>
      <c r="C12" s="25"/>
      <c r="D12" s="26">
        <v>95</v>
      </c>
      <c r="E12" s="26">
        <v>315</v>
      </c>
      <c r="F12" s="26">
        <v>460</v>
      </c>
      <c r="G12" s="26">
        <v>600</v>
      </c>
      <c r="H12" s="26">
        <v>71</v>
      </c>
      <c r="I12" s="26">
        <v>1</v>
      </c>
      <c r="J12" s="26">
        <v>0</v>
      </c>
      <c r="K12" s="26">
        <v>154</v>
      </c>
      <c r="L12" s="26">
        <v>7</v>
      </c>
      <c r="M12" s="26">
        <v>1</v>
      </c>
      <c r="N12" s="26">
        <v>14</v>
      </c>
      <c r="O12" s="26">
        <v>1</v>
      </c>
      <c r="P12" s="26">
        <v>0</v>
      </c>
      <c r="Q12" s="26">
        <v>1</v>
      </c>
      <c r="R12" s="26">
        <v>1</v>
      </c>
      <c r="S12" s="26">
        <v>0</v>
      </c>
      <c r="T12" s="26">
        <v>7</v>
      </c>
      <c r="U12" s="26">
        <v>0</v>
      </c>
      <c r="V12" s="26">
        <v>0</v>
      </c>
      <c r="W12" s="26">
        <v>3</v>
      </c>
      <c r="X12" s="26">
        <v>173</v>
      </c>
      <c r="Y12" s="26">
        <v>0</v>
      </c>
      <c r="Z12" s="26">
        <v>0</v>
      </c>
      <c r="AA12" s="26">
        <v>0</v>
      </c>
      <c r="AB12" s="26">
        <v>5</v>
      </c>
      <c r="AC12" s="26">
        <v>0</v>
      </c>
      <c r="AD12" s="27">
        <f t="shared" si="0"/>
        <v>439</v>
      </c>
      <c r="AE12" s="26">
        <v>21</v>
      </c>
    </row>
    <row r="13" spans="1:31" x14ac:dyDescent="0.3">
      <c r="A13" s="24" t="s">
        <v>23</v>
      </c>
      <c r="B13" s="25">
        <v>1000</v>
      </c>
      <c r="C13" s="25">
        <v>2</v>
      </c>
      <c r="D13" s="26">
        <v>140</v>
      </c>
      <c r="E13" s="26">
        <v>512</v>
      </c>
      <c r="F13" s="26">
        <v>662</v>
      </c>
      <c r="G13" s="26">
        <v>950</v>
      </c>
      <c r="H13" s="26">
        <v>41</v>
      </c>
      <c r="I13" s="26">
        <v>3</v>
      </c>
      <c r="J13" s="26">
        <v>2</v>
      </c>
      <c r="K13" s="26">
        <v>280</v>
      </c>
      <c r="L13" s="26">
        <v>11</v>
      </c>
      <c r="M13" s="26">
        <v>5</v>
      </c>
      <c r="N13" s="26">
        <v>2</v>
      </c>
      <c r="O13" s="26">
        <v>1</v>
      </c>
      <c r="P13" s="26">
        <v>2</v>
      </c>
      <c r="Q13" s="26">
        <v>1</v>
      </c>
      <c r="R13" s="26">
        <v>1</v>
      </c>
      <c r="S13" s="26">
        <v>0</v>
      </c>
      <c r="T13" s="26">
        <v>24</v>
      </c>
      <c r="U13" s="26">
        <v>0</v>
      </c>
      <c r="V13" s="26">
        <v>0</v>
      </c>
      <c r="W13" s="26">
        <v>11</v>
      </c>
      <c r="X13" s="26">
        <v>223</v>
      </c>
      <c r="Y13" s="26">
        <v>2</v>
      </c>
      <c r="Z13" s="26">
        <v>0</v>
      </c>
      <c r="AA13" s="26">
        <v>2</v>
      </c>
      <c r="AB13" s="26">
        <v>14</v>
      </c>
      <c r="AC13" s="26">
        <v>0</v>
      </c>
      <c r="AD13" s="27">
        <f t="shared" si="0"/>
        <v>625</v>
      </c>
      <c r="AE13" s="26">
        <v>37</v>
      </c>
    </row>
    <row r="14" spans="1:31" x14ac:dyDescent="0.3">
      <c r="A14" s="24" t="s">
        <v>24</v>
      </c>
      <c r="B14" s="25">
        <v>392</v>
      </c>
      <c r="C14" s="25">
        <v>1</v>
      </c>
      <c r="D14" s="26">
        <v>78</v>
      </c>
      <c r="E14" s="26">
        <v>208</v>
      </c>
      <c r="F14" s="26">
        <v>262</v>
      </c>
      <c r="G14" s="26">
        <v>400</v>
      </c>
      <c r="H14" s="26">
        <v>16</v>
      </c>
      <c r="I14" s="26">
        <v>1</v>
      </c>
      <c r="J14" s="26">
        <v>0</v>
      </c>
      <c r="K14" s="26">
        <v>85</v>
      </c>
      <c r="L14" s="26">
        <v>7</v>
      </c>
      <c r="M14" s="26">
        <v>3</v>
      </c>
      <c r="N14" s="26">
        <v>0</v>
      </c>
      <c r="O14" s="26">
        <v>1</v>
      </c>
      <c r="P14" s="26">
        <v>0</v>
      </c>
      <c r="Q14" s="26">
        <v>0</v>
      </c>
      <c r="R14" s="26">
        <v>0</v>
      </c>
      <c r="S14" s="26">
        <v>0</v>
      </c>
      <c r="T14" s="26">
        <v>5</v>
      </c>
      <c r="U14" s="26">
        <v>0</v>
      </c>
      <c r="V14" s="26">
        <v>0</v>
      </c>
      <c r="W14" s="26">
        <v>0</v>
      </c>
      <c r="X14" s="26">
        <v>124</v>
      </c>
      <c r="Y14" s="26">
        <v>0</v>
      </c>
      <c r="Z14" s="26">
        <v>6</v>
      </c>
      <c r="AA14" s="26">
        <v>0</v>
      </c>
      <c r="AB14" s="26">
        <v>8</v>
      </c>
      <c r="AC14" s="26">
        <v>0</v>
      </c>
      <c r="AD14" s="27">
        <f t="shared" si="0"/>
        <v>256</v>
      </c>
      <c r="AE14" s="26">
        <v>6</v>
      </c>
    </row>
    <row r="15" spans="1:31" x14ac:dyDescent="0.3">
      <c r="A15" s="24" t="s">
        <v>25</v>
      </c>
      <c r="B15" s="25">
        <v>557</v>
      </c>
      <c r="C15" s="25"/>
      <c r="D15" s="26">
        <v>67</v>
      </c>
      <c r="E15" s="26">
        <v>263</v>
      </c>
      <c r="F15" s="26">
        <v>378</v>
      </c>
      <c r="G15" s="26">
        <v>550</v>
      </c>
      <c r="H15" s="26">
        <v>34</v>
      </c>
      <c r="I15" s="26">
        <v>2</v>
      </c>
      <c r="J15" s="26">
        <v>0</v>
      </c>
      <c r="K15" s="26">
        <v>87</v>
      </c>
      <c r="L15" s="26">
        <v>6</v>
      </c>
      <c r="M15" s="26">
        <v>1</v>
      </c>
      <c r="N15" s="26">
        <v>1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3</v>
      </c>
      <c r="U15" s="26">
        <v>0</v>
      </c>
      <c r="V15" s="26">
        <v>0</v>
      </c>
      <c r="W15" s="26">
        <v>0</v>
      </c>
      <c r="X15" s="26">
        <v>225</v>
      </c>
      <c r="Y15" s="26">
        <v>0</v>
      </c>
      <c r="Z15" s="26">
        <v>0</v>
      </c>
      <c r="AA15" s="26">
        <v>0</v>
      </c>
      <c r="AB15" s="26">
        <v>6</v>
      </c>
      <c r="AC15" s="26">
        <v>2</v>
      </c>
      <c r="AD15" s="27">
        <f t="shared" si="0"/>
        <v>367</v>
      </c>
      <c r="AE15" s="26">
        <v>11</v>
      </c>
    </row>
    <row r="16" spans="1:31" x14ac:dyDescent="0.3">
      <c r="A16" s="24" t="s">
        <v>26</v>
      </c>
      <c r="B16" s="25">
        <v>352</v>
      </c>
      <c r="C16" s="25">
        <v>2</v>
      </c>
      <c r="D16" s="26">
        <v>70</v>
      </c>
      <c r="E16" s="26">
        <v>163</v>
      </c>
      <c r="F16" s="26">
        <v>224</v>
      </c>
      <c r="G16" s="26">
        <v>350</v>
      </c>
      <c r="H16" s="26">
        <v>4</v>
      </c>
      <c r="I16" s="26">
        <v>8</v>
      </c>
      <c r="J16" s="26">
        <v>0</v>
      </c>
      <c r="K16" s="26">
        <v>84</v>
      </c>
      <c r="L16" s="26">
        <v>18</v>
      </c>
      <c r="M16" s="26">
        <v>4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4</v>
      </c>
      <c r="U16" s="26">
        <v>0</v>
      </c>
      <c r="V16" s="26">
        <v>0</v>
      </c>
      <c r="W16" s="26">
        <v>0</v>
      </c>
      <c r="X16" s="26">
        <v>96</v>
      </c>
      <c r="Y16" s="26">
        <v>0</v>
      </c>
      <c r="Z16" s="26">
        <v>0</v>
      </c>
      <c r="AA16" s="26">
        <v>1</v>
      </c>
      <c r="AB16" s="26">
        <v>3</v>
      </c>
      <c r="AC16" s="26">
        <v>0</v>
      </c>
      <c r="AD16" s="27">
        <f t="shared" si="0"/>
        <v>222</v>
      </c>
      <c r="AE16" s="26">
        <v>2</v>
      </c>
    </row>
    <row r="17" spans="1:31" x14ac:dyDescent="0.3">
      <c r="A17" s="24" t="s">
        <v>27</v>
      </c>
      <c r="B17" s="25">
        <v>353</v>
      </c>
      <c r="C17" s="25"/>
      <c r="D17" s="26">
        <v>80</v>
      </c>
      <c r="E17" s="26">
        <v>220</v>
      </c>
      <c r="F17" s="26">
        <v>262</v>
      </c>
      <c r="G17" s="26">
        <v>350</v>
      </c>
      <c r="H17" s="26">
        <v>12</v>
      </c>
      <c r="I17" s="26">
        <v>1</v>
      </c>
      <c r="J17" s="26">
        <v>0</v>
      </c>
      <c r="K17" s="26">
        <v>71</v>
      </c>
      <c r="L17" s="26">
        <v>8</v>
      </c>
      <c r="M17" s="26">
        <v>0</v>
      </c>
      <c r="N17" s="26">
        <v>2</v>
      </c>
      <c r="O17" s="26">
        <v>6</v>
      </c>
      <c r="P17" s="26">
        <v>0</v>
      </c>
      <c r="Q17" s="26">
        <v>0</v>
      </c>
      <c r="R17" s="26">
        <v>0</v>
      </c>
      <c r="S17" s="26">
        <v>0</v>
      </c>
      <c r="T17" s="26">
        <v>3</v>
      </c>
      <c r="U17" s="26">
        <v>0</v>
      </c>
      <c r="V17" s="26">
        <v>0</v>
      </c>
      <c r="W17" s="26">
        <v>1</v>
      </c>
      <c r="X17" s="26">
        <v>119</v>
      </c>
      <c r="Y17" s="26">
        <v>0</v>
      </c>
      <c r="Z17" s="26">
        <v>0</v>
      </c>
      <c r="AA17" s="26">
        <v>0</v>
      </c>
      <c r="AB17" s="26">
        <v>33</v>
      </c>
      <c r="AC17" s="26">
        <v>0</v>
      </c>
      <c r="AD17" s="27">
        <f t="shared" si="0"/>
        <v>256</v>
      </c>
      <c r="AE17" s="26">
        <v>6</v>
      </c>
    </row>
    <row r="18" spans="1:31" x14ac:dyDescent="0.3">
      <c r="A18" s="24" t="s">
        <v>28</v>
      </c>
      <c r="B18" s="25">
        <v>682</v>
      </c>
      <c r="C18" s="25">
        <v>1</v>
      </c>
      <c r="D18" s="26">
        <v>90</v>
      </c>
      <c r="E18" s="26">
        <v>269</v>
      </c>
      <c r="F18" s="26">
        <v>426</v>
      </c>
      <c r="G18" s="26">
        <v>650</v>
      </c>
      <c r="H18" s="26">
        <v>40</v>
      </c>
      <c r="I18" s="26">
        <v>1</v>
      </c>
      <c r="J18" s="26">
        <v>2</v>
      </c>
      <c r="K18" s="26">
        <v>155</v>
      </c>
      <c r="L18" s="26">
        <v>8</v>
      </c>
      <c r="M18" s="26">
        <v>1</v>
      </c>
      <c r="N18" s="26">
        <v>3</v>
      </c>
      <c r="O18" s="26">
        <v>2</v>
      </c>
      <c r="P18" s="26">
        <v>0</v>
      </c>
      <c r="Q18" s="26">
        <v>0</v>
      </c>
      <c r="R18" s="26">
        <v>0</v>
      </c>
      <c r="S18" s="26">
        <v>0</v>
      </c>
      <c r="T18" s="26">
        <v>9</v>
      </c>
      <c r="U18" s="26">
        <v>0</v>
      </c>
      <c r="V18" s="26">
        <v>0</v>
      </c>
      <c r="W18" s="26">
        <v>3</v>
      </c>
      <c r="X18" s="26">
        <v>139</v>
      </c>
      <c r="Y18" s="26">
        <v>0</v>
      </c>
      <c r="Z18" s="26">
        <v>1</v>
      </c>
      <c r="AA18" s="26">
        <v>23</v>
      </c>
      <c r="AB18" s="26">
        <v>16</v>
      </c>
      <c r="AC18" s="26">
        <v>0</v>
      </c>
      <c r="AD18" s="27">
        <f t="shared" si="0"/>
        <v>403</v>
      </c>
      <c r="AE18" s="26">
        <v>23</v>
      </c>
    </row>
    <row r="19" spans="1:31" x14ac:dyDescent="0.3">
      <c r="A19" s="24" t="s">
        <v>29</v>
      </c>
      <c r="B19" s="25">
        <v>1133</v>
      </c>
      <c r="C19" s="25">
        <v>1</v>
      </c>
      <c r="D19" s="26">
        <v>237</v>
      </c>
      <c r="E19" s="26">
        <v>600</v>
      </c>
      <c r="F19" s="26">
        <v>731</v>
      </c>
      <c r="G19" s="26">
        <v>1050</v>
      </c>
      <c r="H19" s="26">
        <v>19</v>
      </c>
      <c r="I19" s="26">
        <v>35</v>
      </c>
      <c r="J19" s="26">
        <v>3</v>
      </c>
      <c r="K19" s="26">
        <v>211</v>
      </c>
      <c r="L19" s="26">
        <v>14</v>
      </c>
      <c r="M19" s="26">
        <v>5</v>
      </c>
      <c r="N19" s="26">
        <v>4</v>
      </c>
      <c r="O19" s="26">
        <v>1</v>
      </c>
      <c r="P19" s="26">
        <v>1</v>
      </c>
      <c r="Q19" s="26">
        <v>3</v>
      </c>
      <c r="R19" s="26">
        <v>2</v>
      </c>
      <c r="S19" s="26">
        <v>0</v>
      </c>
      <c r="T19" s="26">
        <v>18</v>
      </c>
      <c r="U19" s="26">
        <v>0</v>
      </c>
      <c r="V19" s="26">
        <v>0</v>
      </c>
      <c r="W19" s="26">
        <v>2</v>
      </c>
      <c r="X19" s="26">
        <v>369</v>
      </c>
      <c r="Y19" s="26">
        <v>3</v>
      </c>
      <c r="Z19" s="26">
        <v>1</v>
      </c>
      <c r="AA19" s="26">
        <v>1</v>
      </c>
      <c r="AB19" s="26">
        <v>14</v>
      </c>
      <c r="AC19" s="26">
        <v>0</v>
      </c>
      <c r="AD19" s="27">
        <f t="shared" si="0"/>
        <v>706</v>
      </c>
      <c r="AE19" s="26">
        <v>25</v>
      </c>
    </row>
    <row r="20" spans="1:31" x14ac:dyDescent="0.3">
      <c r="A20" s="24" t="s">
        <v>30</v>
      </c>
      <c r="B20" s="25">
        <v>751</v>
      </c>
      <c r="C20" s="25">
        <v>2</v>
      </c>
      <c r="D20" s="26">
        <v>130</v>
      </c>
      <c r="E20" s="26">
        <v>405</v>
      </c>
      <c r="F20" s="26">
        <v>533</v>
      </c>
      <c r="G20" s="26">
        <v>700</v>
      </c>
      <c r="H20" s="26">
        <v>11</v>
      </c>
      <c r="I20" s="26">
        <v>6</v>
      </c>
      <c r="J20" s="26">
        <v>0</v>
      </c>
      <c r="K20" s="26">
        <v>202</v>
      </c>
      <c r="L20" s="26">
        <v>16</v>
      </c>
      <c r="M20" s="26">
        <v>3</v>
      </c>
      <c r="N20" s="26">
        <v>1</v>
      </c>
      <c r="O20" s="26">
        <v>1</v>
      </c>
      <c r="P20" s="26">
        <v>1</v>
      </c>
      <c r="Q20" s="26">
        <v>0</v>
      </c>
      <c r="R20" s="26">
        <v>2</v>
      </c>
      <c r="S20" s="26">
        <v>0</v>
      </c>
      <c r="T20" s="26">
        <v>12</v>
      </c>
      <c r="U20" s="26">
        <v>2</v>
      </c>
      <c r="V20" s="26">
        <v>0</v>
      </c>
      <c r="W20" s="26">
        <v>1</v>
      </c>
      <c r="X20" s="26">
        <v>258</v>
      </c>
      <c r="Y20" s="26">
        <v>0</v>
      </c>
      <c r="Z20" s="26">
        <v>0</v>
      </c>
      <c r="AA20" s="26">
        <v>0</v>
      </c>
      <c r="AB20" s="26">
        <v>5</v>
      </c>
      <c r="AC20" s="26">
        <v>0</v>
      </c>
      <c r="AD20" s="27">
        <f t="shared" si="0"/>
        <v>521</v>
      </c>
      <c r="AE20" s="26">
        <v>12</v>
      </c>
    </row>
    <row r="21" spans="1:31" x14ac:dyDescent="0.3">
      <c r="A21" s="24" t="s">
        <v>31</v>
      </c>
      <c r="B21" s="25">
        <v>234</v>
      </c>
      <c r="C21" s="25">
        <v>1</v>
      </c>
      <c r="D21" s="26">
        <v>55</v>
      </c>
      <c r="E21" s="26">
        <v>134</v>
      </c>
      <c r="F21" s="26">
        <v>163</v>
      </c>
      <c r="G21" s="26">
        <v>250</v>
      </c>
      <c r="H21" s="26">
        <v>12</v>
      </c>
      <c r="I21" s="26">
        <v>4</v>
      </c>
      <c r="J21" s="26">
        <v>0</v>
      </c>
      <c r="K21" s="26">
        <v>48</v>
      </c>
      <c r="L21" s="26">
        <v>2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v>9</v>
      </c>
      <c r="U21" s="26">
        <v>0</v>
      </c>
      <c r="V21" s="26">
        <v>0</v>
      </c>
      <c r="W21" s="26">
        <v>0</v>
      </c>
      <c r="X21" s="26">
        <v>84</v>
      </c>
      <c r="Y21" s="26">
        <v>1</v>
      </c>
      <c r="Z21" s="26">
        <v>0</v>
      </c>
      <c r="AA21" s="26">
        <v>0</v>
      </c>
      <c r="AB21" s="26">
        <v>3</v>
      </c>
      <c r="AC21" s="26">
        <v>0</v>
      </c>
      <c r="AD21" s="27">
        <f t="shared" si="0"/>
        <v>163</v>
      </c>
      <c r="AE21" s="26">
        <v>0</v>
      </c>
    </row>
    <row r="22" spans="1:31" x14ac:dyDescent="0.3">
      <c r="A22" s="24" t="s">
        <v>32</v>
      </c>
      <c r="B22" s="25">
        <v>308</v>
      </c>
      <c r="C22" s="25">
        <v>1</v>
      </c>
      <c r="D22" s="26">
        <v>82</v>
      </c>
      <c r="E22" s="26">
        <v>178</v>
      </c>
      <c r="F22" s="26">
        <v>202</v>
      </c>
      <c r="G22" s="26">
        <v>350</v>
      </c>
      <c r="H22" s="26">
        <v>10</v>
      </c>
      <c r="I22" s="26">
        <v>1</v>
      </c>
      <c r="J22" s="26">
        <v>0</v>
      </c>
      <c r="K22" s="26">
        <v>91</v>
      </c>
      <c r="L22" s="26">
        <v>5</v>
      </c>
      <c r="M22" s="26">
        <v>0</v>
      </c>
      <c r="N22" s="26">
        <v>1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1</v>
      </c>
      <c r="U22" s="26">
        <v>0</v>
      </c>
      <c r="V22" s="26">
        <v>0</v>
      </c>
      <c r="W22" s="26">
        <v>2</v>
      </c>
      <c r="X22" s="26">
        <v>82</v>
      </c>
      <c r="Y22" s="26">
        <v>0</v>
      </c>
      <c r="Z22" s="26">
        <v>0</v>
      </c>
      <c r="AA22" s="26">
        <v>0</v>
      </c>
      <c r="AB22" s="26">
        <v>5</v>
      </c>
      <c r="AC22" s="26">
        <v>0</v>
      </c>
      <c r="AD22" s="27">
        <f t="shared" si="0"/>
        <v>198</v>
      </c>
      <c r="AE22" s="26">
        <v>3</v>
      </c>
    </row>
    <row r="23" spans="1:31" x14ac:dyDescent="0.3">
      <c r="A23" s="24" t="s">
        <v>33</v>
      </c>
      <c r="B23" s="25">
        <v>279</v>
      </c>
      <c r="C23" s="25">
        <v>1</v>
      </c>
      <c r="D23" s="26">
        <v>41</v>
      </c>
      <c r="E23" s="26">
        <v>139</v>
      </c>
      <c r="F23" s="26">
        <v>179</v>
      </c>
      <c r="G23" s="26">
        <v>300</v>
      </c>
      <c r="H23" s="26">
        <v>4</v>
      </c>
      <c r="I23" s="26">
        <v>0</v>
      </c>
      <c r="J23" s="26">
        <v>1</v>
      </c>
      <c r="K23" s="26">
        <v>55</v>
      </c>
      <c r="L23" s="26">
        <v>8</v>
      </c>
      <c r="M23" s="26">
        <v>0</v>
      </c>
      <c r="N23" s="26">
        <v>1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9</v>
      </c>
      <c r="U23" s="26">
        <v>1</v>
      </c>
      <c r="V23" s="26">
        <v>0</v>
      </c>
      <c r="W23" s="26">
        <v>0</v>
      </c>
      <c r="X23" s="26">
        <v>95</v>
      </c>
      <c r="Y23" s="26">
        <v>0</v>
      </c>
      <c r="Z23" s="26">
        <v>0</v>
      </c>
      <c r="AA23" s="26">
        <v>0</v>
      </c>
      <c r="AB23" s="26">
        <v>1</v>
      </c>
      <c r="AC23" s="26">
        <v>1</v>
      </c>
      <c r="AD23" s="27">
        <f t="shared" si="0"/>
        <v>176</v>
      </c>
      <c r="AE23" s="26">
        <v>3</v>
      </c>
    </row>
    <row r="24" spans="1:31" x14ac:dyDescent="0.3">
      <c r="A24" s="24" t="s">
        <v>34</v>
      </c>
      <c r="B24" s="25">
        <v>769</v>
      </c>
      <c r="C24" s="25">
        <v>16</v>
      </c>
      <c r="D24" s="26">
        <v>110</v>
      </c>
      <c r="E24" s="26">
        <v>344</v>
      </c>
      <c r="F24" s="26">
        <v>436</v>
      </c>
      <c r="G24" s="26">
        <v>750</v>
      </c>
      <c r="H24" s="26">
        <v>16</v>
      </c>
      <c r="I24" s="26">
        <v>0</v>
      </c>
      <c r="J24" s="26">
        <v>0</v>
      </c>
      <c r="K24" s="26">
        <v>146</v>
      </c>
      <c r="L24" s="26">
        <v>7</v>
      </c>
      <c r="M24" s="26">
        <v>4</v>
      </c>
      <c r="N24" s="26">
        <v>8</v>
      </c>
      <c r="O24" s="26">
        <v>0</v>
      </c>
      <c r="P24" s="26">
        <v>1</v>
      </c>
      <c r="Q24" s="26">
        <v>0</v>
      </c>
      <c r="R24" s="26">
        <v>1</v>
      </c>
      <c r="S24" s="26">
        <v>0</v>
      </c>
      <c r="T24" s="26">
        <v>18</v>
      </c>
      <c r="U24" s="26">
        <v>0</v>
      </c>
      <c r="V24" s="26">
        <v>0</v>
      </c>
      <c r="W24" s="26">
        <v>0</v>
      </c>
      <c r="X24" s="26">
        <v>203</v>
      </c>
      <c r="Y24" s="26">
        <v>1</v>
      </c>
      <c r="Z24" s="26">
        <v>0</v>
      </c>
      <c r="AA24" s="26">
        <v>0</v>
      </c>
      <c r="AB24" s="26">
        <v>25</v>
      </c>
      <c r="AC24" s="26">
        <v>0</v>
      </c>
      <c r="AD24" s="27">
        <f t="shared" si="0"/>
        <v>430</v>
      </c>
      <c r="AE24" s="26">
        <v>4</v>
      </c>
    </row>
    <row r="25" spans="1:31" x14ac:dyDescent="0.3">
      <c r="A25" s="24" t="s">
        <v>35</v>
      </c>
      <c r="B25" s="25">
        <v>572</v>
      </c>
      <c r="C25" s="25"/>
      <c r="D25" s="26">
        <v>126</v>
      </c>
      <c r="E25" s="26">
        <v>300</v>
      </c>
      <c r="F25" s="26">
        <v>410</v>
      </c>
      <c r="G25" s="26">
        <v>550</v>
      </c>
      <c r="H25" s="26">
        <v>10</v>
      </c>
      <c r="I25" s="26">
        <v>1</v>
      </c>
      <c r="J25" s="26">
        <v>0</v>
      </c>
      <c r="K25" s="26">
        <v>190</v>
      </c>
      <c r="L25" s="26">
        <v>11</v>
      </c>
      <c r="M25" s="26">
        <v>0</v>
      </c>
      <c r="N25" s="26">
        <v>0</v>
      </c>
      <c r="O25" s="26">
        <v>0</v>
      </c>
      <c r="P25" s="26">
        <v>0</v>
      </c>
      <c r="Q25" s="26">
        <v>1</v>
      </c>
      <c r="R25" s="26">
        <v>1</v>
      </c>
      <c r="S25" s="26">
        <v>0</v>
      </c>
      <c r="T25" s="26">
        <v>3</v>
      </c>
      <c r="U25" s="26">
        <v>0</v>
      </c>
      <c r="V25" s="26">
        <v>0</v>
      </c>
      <c r="W25" s="26">
        <v>1</v>
      </c>
      <c r="X25" s="26">
        <v>156</v>
      </c>
      <c r="Y25" s="26">
        <v>1</v>
      </c>
      <c r="Z25" s="26">
        <v>7</v>
      </c>
      <c r="AA25" s="26">
        <v>1</v>
      </c>
      <c r="AB25" s="26">
        <v>17</v>
      </c>
      <c r="AC25" s="26">
        <v>1</v>
      </c>
      <c r="AD25" s="27">
        <f t="shared" si="0"/>
        <v>401</v>
      </c>
      <c r="AE25" s="26">
        <v>9</v>
      </c>
    </row>
    <row r="26" spans="1:31" x14ac:dyDescent="0.3">
      <c r="A26" s="24" t="s">
        <v>36</v>
      </c>
      <c r="B26" s="25">
        <v>425</v>
      </c>
      <c r="C26" s="25"/>
      <c r="D26" s="26">
        <v>70</v>
      </c>
      <c r="E26" s="26">
        <v>216</v>
      </c>
      <c r="F26" s="26">
        <v>268</v>
      </c>
      <c r="G26" s="26">
        <v>450</v>
      </c>
      <c r="H26" s="26">
        <v>7</v>
      </c>
      <c r="I26" s="26">
        <v>1</v>
      </c>
      <c r="J26" s="26">
        <v>0</v>
      </c>
      <c r="K26" s="26">
        <v>84</v>
      </c>
      <c r="L26" s="26">
        <v>2</v>
      </c>
      <c r="M26" s="26">
        <v>2</v>
      </c>
      <c r="N26" s="26">
        <v>1</v>
      </c>
      <c r="O26" s="26">
        <v>0</v>
      </c>
      <c r="P26" s="26">
        <v>1</v>
      </c>
      <c r="Q26" s="26">
        <v>0</v>
      </c>
      <c r="R26" s="26">
        <v>4</v>
      </c>
      <c r="S26" s="26">
        <v>1</v>
      </c>
      <c r="T26" s="26">
        <v>7</v>
      </c>
      <c r="U26" s="26">
        <v>0</v>
      </c>
      <c r="V26" s="26">
        <v>1</v>
      </c>
      <c r="W26" s="26">
        <v>1</v>
      </c>
      <c r="X26" s="26">
        <v>114</v>
      </c>
      <c r="Y26" s="26">
        <v>1</v>
      </c>
      <c r="Z26" s="26">
        <v>0</v>
      </c>
      <c r="AA26" s="26">
        <v>0</v>
      </c>
      <c r="AB26" s="26">
        <v>33</v>
      </c>
      <c r="AC26" s="26">
        <v>1</v>
      </c>
      <c r="AD26" s="27">
        <f t="shared" si="0"/>
        <v>261</v>
      </c>
      <c r="AE26" s="26">
        <v>7</v>
      </c>
    </row>
    <row r="27" spans="1:31" x14ac:dyDescent="0.3">
      <c r="A27" s="24" t="s">
        <v>37</v>
      </c>
      <c r="B27" s="25">
        <v>455</v>
      </c>
      <c r="C27" s="25">
        <v>1</v>
      </c>
      <c r="D27" s="26">
        <v>101</v>
      </c>
      <c r="E27" s="26">
        <v>230</v>
      </c>
      <c r="F27" s="26">
        <v>303</v>
      </c>
      <c r="G27" s="26">
        <v>450</v>
      </c>
      <c r="H27" s="26">
        <v>12</v>
      </c>
      <c r="I27" s="26">
        <v>0</v>
      </c>
      <c r="J27" s="26">
        <v>0</v>
      </c>
      <c r="K27" s="26">
        <v>79</v>
      </c>
      <c r="L27" s="26">
        <v>11</v>
      </c>
      <c r="M27" s="26">
        <v>0</v>
      </c>
      <c r="N27" s="26">
        <v>1</v>
      </c>
      <c r="O27" s="26">
        <v>3</v>
      </c>
      <c r="P27" s="26">
        <v>1</v>
      </c>
      <c r="Q27" s="26">
        <v>0</v>
      </c>
      <c r="R27" s="26">
        <v>0</v>
      </c>
      <c r="S27" s="26">
        <v>0</v>
      </c>
      <c r="T27" s="26">
        <v>11</v>
      </c>
      <c r="U27" s="26">
        <v>0</v>
      </c>
      <c r="V27" s="26">
        <v>0</v>
      </c>
      <c r="W27" s="26">
        <v>0</v>
      </c>
      <c r="X27" s="26">
        <v>159</v>
      </c>
      <c r="Y27" s="26">
        <v>0</v>
      </c>
      <c r="Z27" s="26">
        <v>0</v>
      </c>
      <c r="AA27" s="26">
        <v>0</v>
      </c>
      <c r="AB27" s="26">
        <v>22</v>
      </c>
      <c r="AC27" s="26">
        <v>0</v>
      </c>
      <c r="AD27" s="27">
        <f t="shared" si="0"/>
        <v>299</v>
      </c>
      <c r="AE27" s="26">
        <v>3</v>
      </c>
    </row>
    <row r="28" spans="1:31" x14ac:dyDescent="0.3">
      <c r="A28" s="24" t="s">
        <v>38</v>
      </c>
      <c r="B28" s="25">
        <v>418</v>
      </c>
      <c r="C28" s="25">
        <v>1</v>
      </c>
      <c r="D28" s="26">
        <v>64</v>
      </c>
      <c r="E28" s="26">
        <v>210</v>
      </c>
      <c r="F28" s="26">
        <v>285</v>
      </c>
      <c r="G28" s="26">
        <v>450</v>
      </c>
      <c r="H28" s="26">
        <v>27</v>
      </c>
      <c r="I28" s="26">
        <v>0</v>
      </c>
      <c r="J28" s="26">
        <v>1</v>
      </c>
      <c r="K28" s="26">
        <v>81</v>
      </c>
      <c r="L28" s="26">
        <v>1</v>
      </c>
      <c r="M28" s="26">
        <v>0</v>
      </c>
      <c r="N28" s="26">
        <v>1</v>
      </c>
      <c r="O28" s="26">
        <v>0</v>
      </c>
      <c r="P28" s="26">
        <v>0</v>
      </c>
      <c r="Q28" s="26">
        <v>0</v>
      </c>
      <c r="R28" s="26">
        <v>0</v>
      </c>
      <c r="S28" s="26">
        <v>0</v>
      </c>
      <c r="T28" s="26">
        <v>5</v>
      </c>
      <c r="U28" s="26">
        <v>0</v>
      </c>
      <c r="V28" s="26">
        <v>0</v>
      </c>
      <c r="W28" s="26">
        <v>0</v>
      </c>
      <c r="X28" s="26">
        <v>162</v>
      </c>
      <c r="Y28" s="26">
        <v>1</v>
      </c>
      <c r="Z28" s="26">
        <v>1</v>
      </c>
      <c r="AA28" s="26">
        <v>0</v>
      </c>
      <c r="AB28" s="26">
        <v>0</v>
      </c>
      <c r="AC28" s="26">
        <v>1</v>
      </c>
      <c r="AD28" s="27">
        <f t="shared" si="0"/>
        <v>281</v>
      </c>
      <c r="AE28" s="26">
        <v>4</v>
      </c>
    </row>
    <row r="29" spans="1:31" x14ac:dyDescent="0.3">
      <c r="A29" s="24" t="s">
        <v>39</v>
      </c>
      <c r="B29" s="25">
        <v>324</v>
      </c>
      <c r="C29" s="25"/>
      <c r="D29" s="26">
        <v>41</v>
      </c>
      <c r="E29" s="26">
        <v>152</v>
      </c>
      <c r="F29" s="26">
        <v>187</v>
      </c>
      <c r="G29" s="26">
        <v>350</v>
      </c>
      <c r="H29" s="26">
        <v>10</v>
      </c>
      <c r="I29" s="26">
        <v>0</v>
      </c>
      <c r="J29" s="26">
        <v>0</v>
      </c>
      <c r="K29" s="26">
        <v>59</v>
      </c>
      <c r="L29" s="26">
        <v>8</v>
      </c>
      <c r="M29" s="26">
        <v>1</v>
      </c>
      <c r="N29" s="26">
        <v>1</v>
      </c>
      <c r="O29" s="26">
        <v>1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100</v>
      </c>
      <c r="Y29" s="26">
        <v>0</v>
      </c>
      <c r="Z29" s="26">
        <v>0</v>
      </c>
      <c r="AA29" s="26">
        <v>0</v>
      </c>
      <c r="AB29" s="26">
        <v>0</v>
      </c>
      <c r="AC29" s="26">
        <v>0</v>
      </c>
      <c r="AD29" s="27">
        <f t="shared" si="0"/>
        <v>180</v>
      </c>
      <c r="AE29" s="26">
        <v>7</v>
      </c>
    </row>
    <row r="30" spans="1:31" x14ac:dyDescent="0.3">
      <c r="A30" s="24" t="s">
        <v>40</v>
      </c>
      <c r="B30" s="25">
        <v>266</v>
      </c>
      <c r="C30" s="25"/>
      <c r="D30" s="26">
        <v>52</v>
      </c>
      <c r="E30" s="26">
        <v>163</v>
      </c>
      <c r="F30" s="26">
        <v>175</v>
      </c>
      <c r="G30" s="26">
        <v>300</v>
      </c>
      <c r="H30" s="26">
        <v>6</v>
      </c>
      <c r="I30" s="26">
        <v>0</v>
      </c>
      <c r="J30" s="26">
        <v>1</v>
      </c>
      <c r="K30" s="26">
        <v>88</v>
      </c>
      <c r="L30" s="26">
        <v>2</v>
      </c>
      <c r="M30" s="26">
        <v>0</v>
      </c>
      <c r="N30" s="26">
        <v>0</v>
      </c>
      <c r="O30" s="26">
        <v>1</v>
      </c>
      <c r="P30" s="26">
        <v>0</v>
      </c>
      <c r="Q30" s="26">
        <v>0</v>
      </c>
      <c r="R30" s="26">
        <v>0</v>
      </c>
      <c r="S30" s="26">
        <v>0</v>
      </c>
      <c r="T30" s="26">
        <v>5</v>
      </c>
      <c r="U30" s="26">
        <v>0</v>
      </c>
      <c r="V30" s="26">
        <v>0</v>
      </c>
      <c r="W30" s="26">
        <v>0</v>
      </c>
      <c r="X30" s="26">
        <v>65</v>
      </c>
      <c r="Y30" s="26">
        <v>1</v>
      </c>
      <c r="Z30" s="26">
        <v>0</v>
      </c>
      <c r="AA30" s="26">
        <v>0</v>
      </c>
      <c r="AB30" s="26">
        <v>4</v>
      </c>
      <c r="AC30" s="26">
        <v>0</v>
      </c>
      <c r="AD30" s="27">
        <f t="shared" si="0"/>
        <v>173</v>
      </c>
      <c r="AE30" s="26">
        <v>2</v>
      </c>
    </row>
    <row r="31" spans="1:31" x14ac:dyDescent="0.3">
      <c r="A31" s="24" t="s">
        <v>41</v>
      </c>
      <c r="B31" s="25">
        <v>211</v>
      </c>
      <c r="C31" s="25">
        <v>1</v>
      </c>
      <c r="D31" s="26">
        <v>50</v>
      </c>
      <c r="E31" s="26">
        <v>117</v>
      </c>
      <c r="F31" s="26">
        <v>149</v>
      </c>
      <c r="G31" s="26">
        <v>250</v>
      </c>
      <c r="H31" s="26">
        <v>2</v>
      </c>
      <c r="I31" s="26">
        <v>0</v>
      </c>
      <c r="J31" s="26">
        <v>0</v>
      </c>
      <c r="K31" s="26">
        <v>33</v>
      </c>
      <c r="L31" s="26">
        <v>4</v>
      </c>
      <c r="M31" s="26">
        <v>0</v>
      </c>
      <c r="N31" s="26">
        <v>1</v>
      </c>
      <c r="O31" s="26">
        <v>0</v>
      </c>
      <c r="P31" s="26">
        <v>3</v>
      </c>
      <c r="Q31" s="26">
        <v>1</v>
      </c>
      <c r="R31" s="26">
        <v>0</v>
      </c>
      <c r="S31" s="26">
        <v>0</v>
      </c>
      <c r="T31" s="26">
        <v>4</v>
      </c>
      <c r="U31" s="26">
        <v>0</v>
      </c>
      <c r="V31" s="26">
        <v>0</v>
      </c>
      <c r="W31" s="26">
        <v>0</v>
      </c>
      <c r="X31" s="26">
        <v>99</v>
      </c>
      <c r="Y31" s="26">
        <v>0</v>
      </c>
      <c r="Z31" s="26">
        <v>0</v>
      </c>
      <c r="AA31" s="26">
        <v>0</v>
      </c>
      <c r="AB31" s="26">
        <v>1</v>
      </c>
      <c r="AC31" s="26">
        <v>0</v>
      </c>
      <c r="AD31" s="27">
        <f t="shared" si="0"/>
        <v>148</v>
      </c>
      <c r="AE31" s="26">
        <v>1</v>
      </c>
    </row>
    <row r="32" spans="1:31" s="31" customFormat="1" x14ac:dyDescent="0.3">
      <c r="A32" s="24" t="s">
        <v>42</v>
      </c>
      <c r="B32" s="25">
        <v>554</v>
      </c>
      <c r="C32" s="25">
        <v>1</v>
      </c>
      <c r="D32" s="26">
        <v>67</v>
      </c>
      <c r="E32" s="26">
        <v>255</v>
      </c>
      <c r="F32" s="26">
        <v>337</v>
      </c>
      <c r="G32" s="26">
        <v>500</v>
      </c>
      <c r="H32" s="26">
        <v>12</v>
      </c>
      <c r="I32" s="26">
        <v>0</v>
      </c>
      <c r="J32" s="26">
        <v>0</v>
      </c>
      <c r="K32" s="26">
        <v>140</v>
      </c>
      <c r="L32" s="26">
        <v>5</v>
      </c>
      <c r="M32" s="26">
        <v>2</v>
      </c>
      <c r="N32" s="26">
        <v>15</v>
      </c>
      <c r="O32" s="26">
        <v>0</v>
      </c>
      <c r="P32" s="26">
        <v>0</v>
      </c>
      <c r="Q32" s="26">
        <v>0</v>
      </c>
      <c r="R32" s="26">
        <v>0</v>
      </c>
      <c r="S32" s="26">
        <v>0</v>
      </c>
      <c r="T32" s="26">
        <v>11</v>
      </c>
      <c r="U32" s="26">
        <v>0</v>
      </c>
      <c r="V32" s="26">
        <v>0</v>
      </c>
      <c r="W32" s="26">
        <v>0</v>
      </c>
      <c r="X32" s="26">
        <v>131</v>
      </c>
      <c r="Y32" s="26">
        <v>0</v>
      </c>
      <c r="Z32" s="26">
        <v>1</v>
      </c>
      <c r="AA32" s="26">
        <v>0</v>
      </c>
      <c r="AB32" s="26">
        <v>7</v>
      </c>
      <c r="AC32" s="26">
        <v>1</v>
      </c>
      <c r="AD32" s="27">
        <f t="shared" si="0"/>
        <v>325</v>
      </c>
      <c r="AE32" s="26">
        <v>12</v>
      </c>
    </row>
    <row r="33" spans="1:31" x14ac:dyDescent="0.3">
      <c r="A33" s="24" t="s">
        <v>43</v>
      </c>
      <c r="B33" s="25">
        <v>658</v>
      </c>
      <c r="C33" s="25">
        <v>10</v>
      </c>
      <c r="D33" s="26">
        <v>10</v>
      </c>
      <c r="E33" s="26">
        <v>10</v>
      </c>
      <c r="F33" s="26">
        <v>10</v>
      </c>
      <c r="G33" s="26">
        <v>600</v>
      </c>
      <c r="H33" s="26">
        <v>0</v>
      </c>
      <c r="I33" s="26">
        <v>0</v>
      </c>
      <c r="J33" s="26">
        <v>0</v>
      </c>
      <c r="K33" s="26">
        <v>1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1</v>
      </c>
      <c r="X33" s="26">
        <v>8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7">
        <f t="shared" si="0"/>
        <v>10</v>
      </c>
      <c r="AE33" s="26">
        <v>0</v>
      </c>
    </row>
    <row r="34" spans="1:31" x14ac:dyDescent="0.3">
      <c r="A34" s="24" t="s">
        <v>44</v>
      </c>
      <c r="B34" s="25">
        <v>341</v>
      </c>
      <c r="C34" s="25"/>
      <c r="D34" s="26">
        <v>57</v>
      </c>
      <c r="E34" s="26">
        <v>165</v>
      </c>
      <c r="F34" s="26">
        <v>192</v>
      </c>
      <c r="G34" s="26">
        <v>350</v>
      </c>
      <c r="H34" s="26">
        <v>8</v>
      </c>
      <c r="I34" s="26">
        <v>0</v>
      </c>
      <c r="J34" s="26">
        <v>0</v>
      </c>
      <c r="K34" s="26">
        <v>45</v>
      </c>
      <c r="L34" s="26">
        <v>14</v>
      </c>
      <c r="M34" s="26">
        <v>1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10</v>
      </c>
      <c r="U34" s="26">
        <v>0</v>
      </c>
      <c r="V34" s="26">
        <v>0</v>
      </c>
      <c r="W34" s="26">
        <v>0</v>
      </c>
      <c r="X34" s="26">
        <v>96</v>
      </c>
      <c r="Y34" s="26">
        <v>0</v>
      </c>
      <c r="Z34" s="26">
        <v>1</v>
      </c>
      <c r="AA34" s="26">
        <v>1</v>
      </c>
      <c r="AB34" s="26">
        <v>11</v>
      </c>
      <c r="AC34" s="26">
        <v>0</v>
      </c>
      <c r="AD34" s="27">
        <f t="shared" ref="AD34:AD56" si="1">SUM(H34:AC34)</f>
        <v>187</v>
      </c>
      <c r="AE34" s="26">
        <v>5</v>
      </c>
    </row>
    <row r="35" spans="1:31" x14ac:dyDescent="0.3">
      <c r="A35" s="24" t="s">
        <v>45</v>
      </c>
      <c r="B35" s="25">
        <v>197</v>
      </c>
      <c r="C35" s="25">
        <v>2</v>
      </c>
      <c r="D35" s="26">
        <v>36</v>
      </c>
      <c r="E35" s="26">
        <v>89</v>
      </c>
      <c r="F35" s="26">
        <v>116</v>
      </c>
      <c r="G35" s="26">
        <v>200</v>
      </c>
      <c r="H35" s="26">
        <v>3</v>
      </c>
      <c r="I35" s="26">
        <v>0</v>
      </c>
      <c r="J35" s="26">
        <v>0</v>
      </c>
      <c r="K35" s="26">
        <v>20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1</v>
      </c>
      <c r="W35" s="26">
        <v>0</v>
      </c>
      <c r="X35" s="26">
        <v>91</v>
      </c>
      <c r="Y35" s="26">
        <v>0</v>
      </c>
      <c r="Z35" s="26">
        <v>0</v>
      </c>
      <c r="AA35" s="26">
        <v>0</v>
      </c>
      <c r="AB35" s="26">
        <v>0</v>
      </c>
      <c r="AC35" s="26">
        <v>0</v>
      </c>
      <c r="AD35" s="27">
        <f t="shared" si="1"/>
        <v>115</v>
      </c>
      <c r="AE35" s="26">
        <v>1</v>
      </c>
    </row>
    <row r="36" spans="1:31" x14ac:dyDescent="0.3">
      <c r="A36" s="24" t="s">
        <v>46</v>
      </c>
      <c r="B36" s="25">
        <v>255</v>
      </c>
      <c r="C36" s="25">
        <v>1</v>
      </c>
      <c r="D36" s="26">
        <v>40</v>
      </c>
      <c r="E36" s="26">
        <v>134</v>
      </c>
      <c r="F36" s="26">
        <v>175</v>
      </c>
      <c r="G36" s="26">
        <v>300</v>
      </c>
      <c r="H36" s="26">
        <v>5</v>
      </c>
      <c r="I36" s="26">
        <v>0</v>
      </c>
      <c r="J36" s="26">
        <v>0</v>
      </c>
      <c r="K36" s="26">
        <v>48</v>
      </c>
      <c r="L36" s="26">
        <v>2</v>
      </c>
      <c r="M36" s="26">
        <v>1</v>
      </c>
      <c r="N36" s="26">
        <v>0</v>
      </c>
      <c r="O36" s="26">
        <v>3</v>
      </c>
      <c r="P36" s="26">
        <v>1</v>
      </c>
      <c r="Q36" s="26">
        <v>0</v>
      </c>
      <c r="R36" s="26">
        <v>0</v>
      </c>
      <c r="S36" s="26">
        <v>0</v>
      </c>
      <c r="T36" s="26">
        <v>3</v>
      </c>
      <c r="U36" s="26">
        <v>1</v>
      </c>
      <c r="V36" s="26">
        <v>0</v>
      </c>
      <c r="W36" s="26">
        <v>0</v>
      </c>
      <c r="X36" s="26">
        <v>106</v>
      </c>
      <c r="Y36" s="26">
        <v>0</v>
      </c>
      <c r="Z36" s="26">
        <v>1</v>
      </c>
      <c r="AA36" s="26">
        <v>1</v>
      </c>
      <c r="AB36" s="26">
        <v>1</v>
      </c>
      <c r="AC36" s="26">
        <v>0</v>
      </c>
      <c r="AD36" s="27">
        <f t="shared" si="1"/>
        <v>173</v>
      </c>
      <c r="AE36" s="26">
        <v>2</v>
      </c>
    </row>
    <row r="37" spans="1:31" x14ac:dyDescent="0.3">
      <c r="A37" s="24" t="s">
        <v>47</v>
      </c>
      <c r="B37" s="25">
        <v>415</v>
      </c>
      <c r="C37" s="25">
        <v>1</v>
      </c>
      <c r="D37" s="26">
        <v>68</v>
      </c>
      <c r="E37" s="26">
        <v>230</v>
      </c>
      <c r="F37" s="26">
        <v>275</v>
      </c>
      <c r="G37" s="26">
        <v>450</v>
      </c>
      <c r="H37" s="26">
        <v>20</v>
      </c>
      <c r="I37" s="26">
        <v>1</v>
      </c>
      <c r="J37" s="26">
        <v>0</v>
      </c>
      <c r="K37" s="26">
        <v>81</v>
      </c>
      <c r="L37" s="26">
        <v>5</v>
      </c>
      <c r="M37" s="26">
        <v>0</v>
      </c>
      <c r="N37" s="26">
        <v>0</v>
      </c>
      <c r="O37" s="26">
        <v>1</v>
      </c>
      <c r="P37" s="26">
        <v>0</v>
      </c>
      <c r="Q37" s="26">
        <v>1</v>
      </c>
      <c r="R37" s="26">
        <v>1</v>
      </c>
      <c r="S37" s="26">
        <v>0</v>
      </c>
      <c r="T37" s="26">
        <v>3</v>
      </c>
      <c r="U37" s="26">
        <v>0</v>
      </c>
      <c r="V37" s="26">
        <v>0</v>
      </c>
      <c r="W37" s="26">
        <v>1</v>
      </c>
      <c r="X37" s="26">
        <v>147</v>
      </c>
      <c r="Y37" s="26">
        <v>0</v>
      </c>
      <c r="Z37" s="26">
        <v>0</v>
      </c>
      <c r="AA37" s="26">
        <v>0</v>
      </c>
      <c r="AB37" s="26">
        <v>12</v>
      </c>
      <c r="AC37" s="26">
        <v>0</v>
      </c>
      <c r="AD37" s="27">
        <f t="shared" si="1"/>
        <v>273</v>
      </c>
      <c r="AE37" s="26">
        <v>2</v>
      </c>
    </row>
    <row r="38" spans="1:31" x14ac:dyDescent="0.3">
      <c r="A38" s="24" t="s">
        <v>48</v>
      </c>
      <c r="B38" s="25">
        <v>411</v>
      </c>
      <c r="C38" s="25"/>
      <c r="D38" s="26">
        <v>75</v>
      </c>
      <c r="E38" s="26">
        <v>222</v>
      </c>
      <c r="F38" s="26">
        <v>259</v>
      </c>
      <c r="G38" s="26">
        <v>450</v>
      </c>
      <c r="H38" s="26">
        <v>68</v>
      </c>
      <c r="I38" s="26">
        <v>0</v>
      </c>
      <c r="J38" s="26">
        <v>1</v>
      </c>
      <c r="K38" s="26">
        <v>53</v>
      </c>
      <c r="L38" s="26">
        <v>3</v>
      </c>
      <c r="M38" s="26">
        <v>1</v>
      </c>
      <c r="N38" s="26">
        <v>2</v>
      </c>
      <c r="O38" s="26">
        <v>0</v>
      </c>
      <c r="P38" s="26">
        <v>0</v>
      </c>
      <c r="Q38" s="26">
        <v>0</v>
      </c>
      <c r="R38" s="26">
        <v>1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119</v>
      </c>
      <c r="Y38" s="26">
        <v>0</v>
      </c>
      <c r="Z38" s="26">
        <v>0</v>
      </c>
      <c r="AA38" s="26">
        <v>0</v>
      </c>
      <c r="AB38" s="26">
        <v>0</v>
      </c>
      <c r="AC38" s="26">
        <v>0</v>
      </c>
      <c r="AD38" s="27">
        <f t="shared" si="1"/>
        <v>248</v>
      </c>
      <c r="AE38" s="26">
        <v>11</v>
      </c>
    </row>
    <row r="39" spans="1:31" x14ac:dyDescent="0.3">
      <c r="A39" s="24" t="s">
        <v>49</v>
      </c>
      <c r="B39" s="25">
        <v>224</v>
      </c>
      <c r="C39" s="25"/>
      <c r="D39" s="26">
        <v>40</v>
      </c>
      <c r="E39" s="26">
        <v>120</v>
      </c>
      <c r="F39" s="26">
        <v>148</v>
      </c>
      <c r="G39" s="26">
        <v>250</v>
      </c>
      <c r="H39" s="26">
        <v>34</v>
      </c>
      <c r="I39" s="26">
        <v>0</v>
      </c>
      <c r="J39" s="26">
        <v>0</v>
      </c>
      <c r="K39" s="26">
        <v>44</v>
      </c>
      <c r="L39" s="26">
        <v>1</v>
      </c>
      <c r="M39" s="26">
        <v>0</v>
      </c>
      <c r="N39" s="26">
        <v>1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63</v>
      </c>
      <c r="Y39" s="26">
        <v>0</v>
      </c>
      <c r="Z39" s="26">
        <v>0</v>
      </c>
      <c r="AA39" s="26">
        <v>0</v>
      </c>
      <c r="AB39" s="26">
        <v>0</v>
      </c>
      <c r="AC39" s="26">
        <v>1</v>
      </c>
      <c r="AD39" s="27">
        <f t="shared" si="1"/>
        <v>144</v>
      </c>
      <c r="AE39" s="26">
        <v>4</v>
      </c>
    </row>
    <row r="40" spans="1:31" ht="14.25" customHeight="1" x14ac:dyDescent="0.3">
      <c r="A40" s="24" t="s">
        <v>50</v>
      </c>
      <c r="B40" s="25">
        <v>455</v>
      </c>
      <c r="C40" s="25">
        <v>1</v>
      </c>
      <c r="D40" s="26">
        <v>55</v>
      </c>
      <c r="E40" s="26">
        <v>201</v>
      </c>
      <c r="F40" s="26">
        <v>276</v>
      </c>
      <c r="G40" s="26">
        <v>450</v>
      </c>
      <c r="H40" s="26">
        <v>36</v>
      </c>
      <c r="I40" s="26">
        <v>1</v>
      </c>
      <c r="J40" s="26">
        <v>0</v>
      </c>
      <c r="K40" s="26">
        <v>56</v>
      </c>
      <c r="L40" s="26">
        <v>1</v>
      </c>
      <c r="M40" s="26">
        <v>0</v>
      </c>
      <c r="N40" s="26">
        <v>2</v>
      </c>
      <c r="O40" s="26">
        <v>1</v>
      </c>
      <c r="P40" s="26">
        <v>0</v>
      </c>
      <c r="Q40" s="26">
        <v>0</v>
      </c>
      <c r="R40" s="26">
        <v>1</v>
      </c>
      <c r="S40" s="26">
        <v>0</v>
      </c>
      <c r="T40" s="26">
        <v>0</v>
      </c>
      <c r="U40" s="26">
        <v>2</v>
      </c>
      <c r="V40" s="26">
        <v>0</v>
      </c>
      <c r="W40" s="26">
        <v>0</v>
      </c>
      <c r="X40" s="26">
        <v>152</v>
      </c>
      <c r="Y40" s="26">
        <v>0</v>
      </c>
      <c r="Z40" s="26">
        <v>0</v>
      </c>
      <c r="AA40" s="26">
        <v>0</v>
      </c>
      <c r="AB40" s="26">
        <v>3</v>
      </c>
      <c r="AC40" s="26">
        <v>0</v>
      </c>
      <c r="AD40" s="27">
        <f t="shared" si="1"/>
        <v>255</v>
      </c>
      <c r="AE40" s="26">
        <v>21</v>
      </c>
    </row>
    <row r="41" spans="1:31" x14ac:dyDescent="0.3">
      <c r="A41" s="24" t="s">
        <v>51</v>
      </c>
      <c r="B41" s="25">
        <v>506</v>
      </c>
      <c r="C41" s="25"/>
      <c r="D41" s="26">
        <v>72</v>
      </c>
      <c r="E41" s="26">
        <v>244</v>
      </c>
      <c r="F41" s="26">
        <v>296</v>
      </c>
      <c r="G41" s="26">
        <v>500</v>
      </c>
      <c r="H41" s="26">
        <v>13</v>
      </c>
      <c r="I41" s="26">
        <v>4</v>
      </c>
      <c r="J41" s="26">
        <v>0</v>
      </c>
      <c r="K41" s="26">
        <v>129</v>
      </c>
      <c r="L41" s="26">
        <v>4</v>
      </c>
      <c r="M41" s="26">
        <v>0</v>
      </c>
      <c r="N41" s="26">
        <v>2</v>
      </c>
      <c r="O41" s="26">
        <v>0</v>
      </c>
      <c r="P41" s="26">
        <v>1</v>
      </c>
      <c r="Q41" s="26">
        <v>0</v>
      </c>
      <c r="R41" s="26">
        <v>0</v>
      </c>
      <c r="S41" s="26">
        <v>0</v>
      </c>
      <c r="T41" s="26">
        <v>1</v>
      </c>
      <c r="U41" s="26">
        <v>1</v>
      </c>
      <c r="V41" s="26">
        <v>0</v>
      </c>
      <c r="W41" s="26">
        <v>0</v>
      </c>
      <c r="X41" s="26">
        <v>128</v>
      </c>
      <c r="Y41" s="26">
        <v>1</v>
      </c>
      <c r="Z41" s="26">
        <v>0</v>
      </c>
      <c r="AA41" s="26">
        <v>1</v>
      </c>
      <c r="AB41" s="26">
        <v>4</v>
      </c>
      <c r="AC41" s="26">
        <v>0</v>
      </c>
      <c r="AD41" s="27">
        <f t="shared" si="1"/>
        <v>289</v>
      </c>
      <c r="AE41" s="26">
        <v>7</v>
      </c>
    </row>
    <row r="42" spans="1:31" x14ac:dyDescent="0.3">
      <c r="A42" s="24" t="s">
        <v>52</v>
      </c>
      <c r="B42" s="25">
        <v>564</v>
      </c>
      <c r="C42" s="25">
        <v>1</v>
      </c>
      <c r="D42" s="26">
        <v>80</v>
      </c>
      <c r="E42" s="26">
        <v>203</v>
      </c>
      <c r="F42" s="26">
        <v>336</v>
      </c>
      <c r="G42" s="26">
        <v>550</v>
      </c>
      <c r="H42" s="26">
        <v>62</v>
      </c>
      <c r="I42" s="26">
        <v>4</v>
      </c>
      <c r="J42" s="26">
        <v>0</v>
      </c>
      <c r="K42" s="26">
        <v>68</v>
      </c>
      <c r="L42" s="26">
        <v>6</v>
      </c>
      <c r="M42" s="26">
        <v>0</v>
      </c>
      <c r="N42" s="26">
        <v>0</v>
      </c>
      <c r="O42" s="26">
        <v>1</v>
      </c>
      <c r="P42" s="26">
        <v>0</v>
      </c>
      <c r="Q42" s="26">
        <v>1</v>
      </c>
      <c r="R42" s="26">
        <v>0</v>
      </c>
      <c r="S42" s="26">
        <v>0</v>
      </c>
      <c r="T42" s="26">
        <v>6</v>
      </c>
      <c r="U42" s="26">
        <v>0</v>
      </c>
      <c r="V42" s="26">
        <v>1</v>
      </c>
      <c r="W42" s="26">
        <v>7</v>
      </c>
      <c r="X42" s="26">
        <v>160</v>
      </c>
      <c r="Y42" s="26">
        <v>1</v>
      </c>
      <c r="Z42" s="26">
        <v>0</v>
      </c>
      <c r="AA42" s="26">
        <v>0</v>
      </c>
      <c r="AB42" s="26">
        <v>0</v>
      </c>
      <c r="AC42" s="26">
        <v>1</v>
      </c>
      <c r="AD42" s="27">
        <f t="shared" si="1"/>
        <v>318</v>
      </c>
      <c r="AE42" s="26">
        <v>18</v>
      </c>
    </row>
    <row r="43" spans="1:31" x14ac:dyDescent="0.3">
      <c r="A43" s="24" t="s">
        <v>53</v>
      </c>
      <c r="B43" s="25">
        <v>620</v>
      </c>
      <c r="C43" s="25"/>
      <c r="D43" s="26">
        <v>101</v>
      </c>
      <c r="E43" s="26">
        <v>321</v>
      </c>
      <c r="F43" s="26">
        <v>361</v>
      </c>
      <c r="G43" s="26">
        <v>550</v>
      </c>
      <c r="H43" s="26">
        <v>11</v>
      </c>
      <c r="I43" s="26">
        <v>2</v>
      </c>
      <c r="J43" s="26">
        <v>0</v>
      </c>
      <c r="K43" s="26">
        <v>91</v>
      </c>
      <c r="L43" s="26">
        <v>11</v>
      </c>
      <c r="M43" s="26">
        <v>2</v>
      </c>
      <c r="N43" s="26">
        <v>2</v>
      </c>
      <c r="O43" s="26">
        <v>1</v>
      </c>
      <c r="P43" s="26">
        <v>0</v>
      </c>
      <c r="Q43" s="26">
        <v>2</v>
      </c>
      <c r="R43" s="26">
        <v>15</v>
      </c>
      <c r="S43" s="26">
        <v>0</v>
      </c>
      <c r="T43" s="26">
        <v>5</v>
      </c>
      <c r="U43" s="26">
        <v>2</v>
      </c>
      <c r="V43" s="26">
        <v>0</v>
      </c>
      <c r="W43" s="26">
        <v>1</v>
      </c>
      <c r="X43" s="26">
        <v>204</v>
      </c>
      <c r="Y43" s="26">
        <v>0</v>
      </c>
      <c r="Z43" s="26">
        <v>1</v>
      </c>
      <c r="AA43" s="26">
        <v>0</v>
      </c>
      <c r="AB43" s="26">
        <v>2</v>
      </c>
      <c r="AC43" s="26">
        <v>0</v>
      </c>
      <c r="AD43" s="27">
        <f t="shared" si="1"/>
        <v>352</v>
      </c>
      <c r="AE43" s="26">
        <v>9</v>
      </c>
    </row>
    <row r="44" spans="1:31" x14ac:dyDescent="0.3">
      <c r="A44" s="24" t="s">
        <v>54</v>
      </c>
      <c r="B44" s="25">
        <v>176</v>
      </c>
      <c r="C44" s="25"/>
      <c r="D44" s="26">
        <v>31</v>
      </c>
      <c r="E44" s="26">
        <v>89</v>
      </c>
      <c r="F44" s="26">
        <v>105</v>
      </c>
      <c r="G44" s="26">
        <v>200</v>
      </c>
      <c r="H44" s="26">
        <v>4</v>
      </c>
      <c r="I44" s="26">
        <v>0</v>
      </c>
      <c r="J44" s="26">
        <v>0</v>
      </c>
      <c r="K44" s="26">
        <v>13</v>
      </c>
      <c r="L44" s="26">
        <v>7</v>
      </c>
      <c r="M44" s="26">
        <v>0</v>
      </c>
      <c r="N44" s="26">
        <v>0</v>
      </c>
      <c r="O44" s="26">
        <v>0</v>
      </c>
      <c r="P44" s="26">
        <v>0</v>
      </c>
      <c r="Q44" s="26">
        <v>0</v>
      </c>
      <c r="R44" s="26">
        <v>2</v>
      </c>
      <c r="S44" s="26">
        <v>0</v>
      </c>
      <c r="T44" s="26">
        <v>23</v>
      </c>
      <c r="U44" s="26">
        <v>1</v>
      </c>
      <c r="V44" s="26">
        <v>1</v>
      </c>
      <c r="W44" s="26">
        <v>0</v>
      </c>
      <c r="X44" s="26">
        <v>52</v>
      </c>
      <c r="Y44" s="26">
        <v>0</v>
      </c>
      <c r="Z44" s="26">
        <v>0</v>
      </c>
      <c r="AA44" s="26">
        <v>0</v>
      </c>
      <c r="AB44" s="26">
        <v>1</v>
      </c>
      <c r="AC44" s="26">
        <v>0</v>
      </c>
      <c r="AD44" s="27">
        <f t="shared" si="1"/>
        <v>104</v>
      </c>
      <c r="AE44" s="26">
        <v>1</v>
      </c>
    </row>
    <row r="45" spans="1:31" x14ac:dyDescent="0.3">
      <c r="A45" s="24" t="s">
        <v>55</v>
      </c>
      <c r="B45" s="25">
        <v>203</v>
      </c>
      <c r="C45" s="25">
        <v>1</v>
      </c>
      <c r="D45" s="26">
        <v>18</v>
      </c>
      <c r="E45" s="26">
        <v>88</v>
      </c>
      <c r="F45" s="26">
        <v>102</v>
      </c>
      <c r="G45" s="26">
        <v>200</v>
      </c>
      <c r="H45" s="26">
        <v>3</v>
      </c>
      <c r="I45" s="26">
        <v>0</v>
      </c>
      <c r="J45" s="26">
        <v>0</v>
      </c>
      <c r="K45" s="26">
        <v>29</v>
      </c>
      <c r="L45" s="26">
        <v>4</v>
      </c>
      <c r="M45" s="26">
        <v>1</v>
      </c>
      <c r="N45" s="26">
        <v>0</v>
      </c>
      <c r="O45" s="26">
        <v>1</v>
      </c>
      <c r="P45" s="26">
        <v>0</v>
      </c>
      <c r="Q45" s="26">
        <v>0</v>
      </c>
      <c r="R45" s="26">
        <v>0</v>
      </c>
      <c r="S45" s="26">
        <v>0</v>
      </c>
      <c r="T45" s="26">
        <v>3</v>
      </c>
      <c r="U45" s="26">
        <v>0</v>
      </c>
      <c r="V45" s="26">
        <v>0</v>
      </c>
      <c r="W45" s="26">
        <v>0</v>
      </c>
      <c r="X45" s="26">
        <v>52</v>
      </c>
      <c r="Y45" s="26">
        <v>1</v>
      </c>
      <c r="Z45" s="26">
        <v>0</v>
      </c>
      <c r="AA45" s="26">
        <v>0</v>
      </c>
      <c r="AB45" s="26">
        <v>2</v>
      </c>
      <c r="AC45" s="26">
        <v>0</v>
      </c>
      <c r="AD45" s="27">
        <f t="shared" si="1"/>
        <v>96</v>
      </c>
      <c r="AE45" s="26">
        <v>6</v>
      </c>
    </row>
    <row r="46" spans="1:31" x14ac:dyDescent="0.3">
      <c r="A46" s="24" t="s">
        <v>56</v>
      </c>
      <c r="B46" s="25">
        <v>301</v>
      </c>
      <c r="C46" s="25">
        <v>11</v>
      </c>
      <c r="D46" s="26">
        <v>7</v>
      </c>
      <c r="E46" s="26">
        <v>9</v>
      </c>
      <c r="F46" s="26">
        <v>9</v>
      </c>
      <c r="G46" s="26">
        <v>300</v>
      </c>
      <c r="H46" s="26">
        <v>0</v>
      </c>
      <c r="I46" s="26">
        <v>0</v>
      </c>
      <c r="J46" s="26">
        <v>0</v>
      </c>
      <c r="K46" s="26">
        <v>1</v>
      </c>
      <c r="L46" s="26">
        <v>0</v>
      </c>
      <c r="M46" s="26">
        <v>0</v>
      </c>
      <c r="N46" s="26">
        <v>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6">
        <v>0</v>
      </c>
      <c r="W46" s="26">
        <v>0</v>
      </c>
      <c r="X46" s="26">
        <v>6</v>
      </c>
      <c r="Y46" s="26">
        <v>1</v>
      </c>
      <c r="Z46" s="26">
        <v>0</v>
      </c>
      <c r="AA46" s="26">
        <v>0</v>
      </c>
      <c r="AB46" s="26">
        <v>0</v>
      </c>
      <c r="AC46" s="26">
        <v>0</v>
      </c>
      <c r="AD46" s="27">
        <f t="shared" si="1"/>
        <v>8</v>
      </c>
      <c r="AE46" s="26">
        <v>1</v>
      </c>
    </row>
    <row r="47" spans="1:31" x14ac:dyDescent="0.3">
      <c r="A47" s="24" t="s">
        <v>57</v>
      </c>
      <c r="B47" s="25">
        <v>276</v>
      </c>
      <c r="C47" s="25"/>
      <c r="D47" s="26">
        <v>50</v>
      </c>
      <c r="E47" s="26">
        <v>134</v>
      </c>
      <c r="F47" s="26">
        <v>173</v>
      </c>
      <c r="G47" s="26">
        <v>300</v>
      </c>
      <c r="H47" s="26">
        <v>13</v>
      </c>
      <c r="I47" s="26">
        <v>0</v>
      </c>
      <c r="J47" s="26">
        <v>0</v>
      </c>
      <c r="K47" s="26">
        <v>50</v>
      </c>
      <c r="L47" s="26">
        <v>3</v>
      </c>
      <c r="M47" s="26">
        <v>1</v>
      </c>
      <c r="N47" s="26">
        <v>1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5</v>
      </c>
      <c r="V47" s="26">
        <v>0</v>
      </c>
      <c r="W47" s="26">
        <v>0</v>
      </c>
      <c r="X47" s="26">
        <v>82</v>
      </c>
      <c r="Y47" s="26">
        <v>1</v>
      </c>
      <c r="Z47" s="26">
        <v>1</v>
      </c>
      <c r="AA47" s="26">
        <v>0</v>
      </c>
      <c r="AB47" s="26">
        <v>9</v>
      </c>
      <c r="AC47" s="26">
        <v>0</v>
      </c>
      <c r="AD47" s="27">
        <f t="shared" si="1"/>
        <v>166</v>
      </c>
      <c r="AE47" s="26">
        <v>7</v>
      </c>
    </row>
    <row r="48" spans="1:31" x14ac:dyDescent="0.3">
      <c r="A48" s="24" t="s">
        <v>58</v>
      </c>
      <c r="B48" s="25">
        <v>137</v>
      </c>
      <c r="C48" s="25"/>
      <c r="D48" s="26">
        <v>34</v>
      </c>
      <c r="E48" s="26">
        <v>74</v>
      </c>
      <c r="F48" s="26">
        <v>105</v>
      </c>
      <c r="G48" s="26">
        <v>150</v>
      </c>
      <c r="H48" s="26">
        <v>6</v>
      </c>
      <c r="I48" s="26">
        <v>1</v>
      </c>
      <c r="J48" s="26">
        <v>0</v>
      </c>
      <c r="K48" s="26">
        <v>46</v>
      </c>
      <c r="L48" s="26">
        <v>2</v>
      </c>
      <c r="M48" s="26">
        <v>2</v>
      </c>
      <c r="N48" s="26">
        <v>1</v>
      </c>
      <c r="O48" s="26">
        <v>0</v>
      </c>
      <c r="P48" s="26">
        <v>0</v>
      </c>
      <c r="Q48" s="26">
        <v>0</v>
      </c>
      <c r="R48" s="26">
        <v>0</v>
      </c>
      <c r="S48" s="26">
        <v>0</v>
      </c>
      <c r="T48" s="26">
        <v>0</v>
      </c>
      <c r="U48" s="26">
        <v>0</v>
      </c>
      <c r="V48" s="26">
        <v>0</v>
      </c>
      <c r="W48" s="26">
        <v>0</v>
      </c>
      <c r="X48" s="26">
        <v>45</v>
      </c>
      <c r="Y48" s="26">
        <v>0</v>
      </c>
      <c r="Z48" s="26">
        <v>0</v>
      </c>
      <c r="AA48" s="26">
        <v>0</v>
      </c>
      <c r="AB48" s="26">
        <v>0</v>
      </c>
      <c r="AC48" s="26">
        <v>0</v>
      </c>
      <c r="AD48" s="27">
        <f t="shared" si="1"/>
        <v>103</v>
      </c>
      <c r="AE48" s="26">
        <v>2</v>
      </c>
    </row>
    <row r="49" spans="1:31" x14ac:dyDescent="0.3">
      <c r="A49" s="24" t="s">
        <v>59</v>
      </c>
      <c r="B49" s="25">
        <v>150</v>
      </c>
      <c r="C49" s="25">
        <v>2</v>
      </c>
      <c r="D49" s="26">
        <v>23</v>
      </c>
      <c r="E49" s="26">
        <v>74</v>
      </c>
      <c r="F49" s="26">
        <v>93</v>
      </c>
      <c r="G49" s="26">
        <v>150</v>
      </c>
      <c r="H49" s="26">
        <v>3</v>
      </c>
      <c r="I49" s="26">
        <v>0</v>
      </c>
      <c r="J49" s="26">
        <v>1</v>
      </c>
      <c r="K49" s="26">
        <v>35</v>
      </c>
      <c r="L49" s="26">
        <v>1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26">
        <v>3</v>
      </c>
      <c r="U49" s="26">
        <v>0</v>
      </c>
      <c r="V49" s="26">
        <v>0</v>
      </c>
      <c r="W49" s="26">
        <v>0</v>
      </c>
      <c r="X49" s="26">
        <v>46</v>
      </c>
      <c r="Y49" s="26">
        <v>0</v>
      </c>
      <c r="Z49" s="26">
        <v>0</v>
      </c>
      <c r="AA49" s="26">
        <v>2</v>
      </c>
      <c r="AB49" s="26">
        <v>1</v>
      </c>
      <c r="AC49" s="26">
        <v>0</v>
      </c>
      <c r="AD49" s="27">
        <f t="shared" si="1"/>
        <v>92</v>
      </c>
      <c r="AE49" s="26">
        <v>1</v>
      </c>
    </row>
    <row r="50" spans="1:31" x14ac:dyDescent="0.3">
      <c r="A50" s="24" t="s">
        <v>60</v>
      </c>
      <c r="B50" s="25">
        <v>399</v>
      </c>
      <c r="C50" s="25"/>
      <c r="D50" s="26">
        <v>80</v>
      </c>
      <c r="E50" s="26">
        <v>209</v>
      </c>
      <c r="F50" s="26">
        <v>280</v>
      </c>
      <c r="G50" s="26">
        <v>400</v>
      </c>
      <c r="H50" s="26">
        <v>30</v>
      </c>
      <c r="I50" s="26">
        <v>0</v>
      </c>
      <c r="J50" s="26">
        <v>0</v>
      </c>
      <c r="K50" s="26">
        <v>71</v>
      </c>
      <c r="L50" s="26">
        <v>9</v>
      </c>
      <c r="M50" s="26">
        <v>0</v>
      </c>
      <c r="N50" s="26">
        <v>2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3</v>
      </c>
      <c r="U50" s="26">
        <v>0</v>
      </c>
      <c r="V50" s="26">
        <v>0</v>
      </c>
      <c r="W50" s="26">
        <v>0</v>
      </c>
      <c r="X50" s="26">
        <v>146</v>
      </c>
      <c r="Y50" s="26">
        <v>0</v>
      </c>
      <c r="Z50" s="26">
        <v>0</v>
      </c>
      <c r="AA50" s="26">
        <v>0</v>
      </c>
      <c r="AB50" s="26">
        <v>8</v>
      </c>
      <c r="AC50" s="26">
        <v>0</v>
      </c>
      <c r="AD50" s="27">
        <f t="shared" si="1"/>
        <v>269</v>
      </c>
      <c r="AE50" s="26">
        <v>11</v>
      </c>
    </row>
    <row r="51" spans="1:31" x14ac:dyDescent="0.3">
      <c r="A51" s="24" t="s">
        <v>61</v>
      </c>
      <c r="B51" s="25">
        <v>352</v>
      </c>
      <c r="C51" s="25"/>
      <c r="D51" s="26">
        <v>92</v>
      </c>
      <c r="E51" s="26">
        <v>185</v>
      </c>
      <c r="F51" s="26">
        <v>235</v>
      </c>
      <c r="G51" s="26">
        <v>350</v>
      </c>
      <c r="H51" s="26">
        <v>32</v>
      </c>
      <c r="I51" s="26">
        <v>4</v>
      </c>
      <c r="J51" s="26">
        <v>0</v>
      </c>
      <c r="K51" s="26">
        <v>40</v>
      </c>
      <c r="L51" s="26">
        <v>2</v>
      </c>
      <c r="M51" s="26">
        <v>0</v>
      </c>
      <c r="N51" s="26">
        <v>0</v>
      </c>
      <c r="O51" s="26">
        <v>0</v>
      </c>
      <c r="P51" s="26">
        <v>2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2</v>
      </c>
      <c r="X51" s="26">
        <v>140</v>
      </c>
      <c r="Y51" s="26">
        <v>0</v>
      </c>
      <c r="Z51" s="26">
        <v>0</v>
      </c>
      <c r="AA51" s="26">
        <v>0</v>
      </c>
      <c r="AB51" s="26">
        <v>6</v>
      </c>
      <c r="AC51" s="26">
        <v>0</v>
      </c>
      <c r="AD51" s="27">
        <f t="shared" si="1"/>
        <v>228</v>
      </c>
      <c r="AE51" s="26">
        <v>7</v>
      </c>
    </row>
    <row r="52" spans="1:31" x14ac:dyDescent="0.3">
      <c r="A52" s="24" t="s">
        <v>62</v>
      </c>
      <c r="B52" s="25">
        <v>295</v>
      </c>
      <c r="C52" s="25">
        <v>1</v>
      </c>
      <c r="D52" s="26">
        <v>48</v>
      </c>
      <c r="E52" s="26">
        <v>175</v>
      </c>
      <c r="F52" s="26">
        <v>208</v>
      </c>
      <c r="G52" s="26">
        <v>300</v>
      </c>
      <c r="H52" s="26">
        <v>5</v>
      </c>
      <c r="I52" s="26">
        <v>2</v>
      </c>
      <c r="J52" s="26">
        <v>0</v>
      </c>
      <c r="K52" s="26">
        <v>77</v>
      </c>
      <c r="L52" s="26">
        <v>2</v>
      </c>
      <c r="M52" s="26">
        <v>0</v>
      </c>
      <c r="N52" s="26">
        <v>0</v>
      </c>
      <c r="O52" s="26">
        <v>0</v>
      </c>
      <c r="P52" s="26">
        <v>0</v>
      </c>
      <c r="Q52" s="26">
        <v>0</v>
      </c>
      <c r="R52" s="26">
        <v>0</v>
      </c>
      <c r="S52" s="26">
        <v>0</v>
      </c>
      <c r="T52" s="26">
        <v>0</v>
      </c>
      <c r="U52" s="26">
        <v>0</v>
      </c>
      <c r="V52" s="26">
        <v>0</v>
      </c>
      <c r="W52" s="26">
        <v>0</v>
      </c>
      <c r="X52" s="26">
        <v>101</v>
      </c>
      <c r="Y52" s="26">
        <v>1</v>
      </c>
      <c r="Z52" s="26">
        <v>0</v>
      </c>
      <c r="AA52" s="26">
        <v>0</v>
      </c>
      <c r="AB52" s="26">
        <v>14</v>
      </c>
      <c r="AC52" s="26">
        <v>1</v>
      </c>
      <c r="AD52" s="27">
        <f t="shared" si="1"/>
        <v>203</v>
      </c>
      <c r="AE52" s="26">
        <v>5</v>
      </c>
    </row>
    <row r="53" spans="1:31" x14ac:dyDescent="0.3">
      <c r="A53" s="24" t="s">
        <v>63</v>
      </c>
      <c r="B53" s="25">
        <v>186</v>
      </c>
      <c r="C53" s="25"/>
      <c r="D53" s="26">
        <v>40</v>
      </c>
      <c r="E53" s="26">
        <v>99</v>
      </c>
      <c r="F53" s="26">
        <v>123</v>
      </c>
      <c r="G53" s="26">
        <v>200</v>
      </c>
      <c r="H53" s="26">
        <v>14</v>
      </c>
      <c r="I53" s="26">
        <v>0</v>
      </c>
      <c r="J53" s="26">
        <v>0</v>
      </c>
      <c r="K53" s="26">
        <v>54</v>
      </c>
      <c r="L53" s="26">
        <v>0</v>
      </c>
      <c r="M53" s="26">
        <v>0</v>
      </c>
      <c r="N53" s="26">
        <v>0</v>
      </c>
      <c r="O53" s="26">
        <v>0</v>
      </c>
      <c r="P53" s="26">
        <v>4</v>
      </c>
      <c r="Q53" s="26">
        <v>0</v>
      </c>
      <c r="R53" s="26">
        <v>0</v>
      </c>
      <c r="S53" s="26">
        <v>0</v>
      </c>
      <c r="T53" s="26">
        <v>3</v>
      </c>
      <c r="U53" s="26">
        <v>0</v>
      </c>
      <c r="V53" s="26">
        <v>0</v>
      </c>
      <c r="W53" s="26">
        <v>1</v>
      </c>
      <c r="X53" s="26">
        <v>46</v>
      </c>
      <c r="Y53" s="26">
        <v>0</v>
      </c>
      <c r="Z53" s="26">
        <v>0</v>
      </c>
      <c r="AA53" s="26">
        <v>0</v>
      </c>
      <c r="AB53" s="26">
        <v>1</v>
      </c>
      <c r="AC53" s="26">
        <v>0</v>
      </c>
      <c r="AD53" s="27">
        <f t="shared" si="1"/>
        <v>123</v>
      </c>
      <c r="AE53" s="26">
        <v>0</v>
      </c>
    </row>
    <row r="54" spans="1:31" x14ac:dyDescent="0.3">
      <c r="A54" s="24" t="s">
        <v>114</v>
      </c>
      <c r="B54" s="25">
        <v>314</v>
      </c>
      <c r="C54" s="25">
        <v>1</v>
      </c>
      <c r="D54" s="26">
        <v>57</v>
      </c>
      <c r="E54" s="26">
        <v>156</v>
      </c>
      <c r="F54" s="26">
        <v>197</v>
      </c>
      <c r="G54" s="26">
        <v>300</v>
      </c>
      <c r="H54" s="26">
        <v>9</v>
      </c>
      <c r="I54" s="26">
        <v>1</v>
      </c>
      <c r="J54" s="26">
        <v>0</v>
      </c>
      <c r="K54" s="26">
        <v>77</v>
      </c>
      <c r="L54" s="26">
        <v>4</v>
      </c>
      <c r="M54" s="26">
        <v>0</v>
      </c>
      <c r="N54" s="26">
        <v>0</v>
      </c>
      <c r="O54" s="26">
        <v>0</v>
      </c>
      <c r="P54" s="26">
        <v>2</v>
      </c>
      <c r="Q54" s="26">
        <v>0</v>
      </c>
      <c r="R54" s="26">
        <v>0</v>
      </c>
      <c r="S54" s="26">
        <v>0</v>
      </c>
      <c r="T54" s="26">
        <v>6</v>
      </c>
      <c r="U54" s="26">
        <v>0</v>
      </c>
      <c r="V54" s="26">
        <v>0</v>
      </c>
      <c r="W54" s="26">
        <v>1</v>
      </c>
      <c r="X54" s="26">
        <v>89</v>
      </c>
      <c r="Y54" s="26">
        <v>0</v>
      </c>
      <c r="Z54" s="26">
        <v>0</v>
      </c>
      <c r="AA54" s="26">
        <v>0</v>
      </c>
      <c r="AB54" s="26">
        <v>1</v>
      </c>
      <c r="AC54" s="26">
        <v>0</v>
      </c>
      <c r="AD54" s="27">
        <f t="shared" si="1"/>
        <v>190</v>
      </c>
      <c r="AE54" s="26">
        <v>7</v>
      </c>
    </row>
    <row r="55" spans="1:31" x14ac:dyDescent="0.3">
      <c r="A55" s="24" t="s">
        <v>115</v>
      </c>
      <c r="B55" s="25">
        <v>259</v>
      </c>
      <c r="C55" s="25">
        <v>1</v>
      </c>
      <c r="D55" s="26">
        <v>76</v>
      </c>
      <c r="E55" s="26">
        <v>191</v>
      </c>
      <c r="F55" s="26">
        <v>213</v>
      </c>
      <c r="G55" s="26">
        <v>350</v>
      </c>
      <c r="H55" s="26">
        <v>4</v>
      </c>
      <c r="I55" s="26">
        <v>0</v>
      </c>
      <c r="J55" s="26">
        <v>0</v>
      </c>
      <c r="K55" s="26">
        <v>49</v>
      </c>
      <c r="L55" s="26">
        <v>13</v>
      </c>
      <c r="M55" s="26">
        <v>1</v>
      </c>
      <c r="N55" s="26">
        <v>11</v>
      </c>
      <c r="O55" s="26">
        <v>2</v>
      </c>
      <c r="P55" s="26">
        <v>0</v>
      </c>
      <c r="Q55" s="26">
        <v>0</v>
      </c>
      <c r="R55" s="26">
        <v>1</v>
      </c>
      <c r="S55" s="26">
        <v>0</v>
      </c>
      <c r="T55" s="26">
        <v>21</v>
      </c>
      <c r="U55" s="26">
        <v>0</v>
      </c>
      <c r="V55" s="26">
        <v>1</v>
      </c>
      <c r="W55" s="26">
        <v>1</v>
      </c>
      <c r="X55" s="26">
        <v>102</v>
      </c>
      <c r="Y55" s="26">
        <v>0</v>
      </c>
      <c r="Z55" s="26">
        <v>0</v>
      </c>
      <c r="AA55" s="26">
        <v>0</v>
      </c>
      <c r="AB55" s="26">
        <v>3</v>
      </c>
      <c r="AC55" s="26">
        <v>0</v>
      </c>
      <c r="AD55" s="27">
        <f t="shared" si="1"/>
        <v>209</v>
      </c>
      <c r="AE55" s="26">
        <v>4</v>
      </c>
    </row>
    <row r="56" spans="1:31" x14ac:dyDescent="0.3">
      <c r="A56" s="24" t="s">
        <v>116</v>
      </c>
      <c r="B56" s="25"/>
      <c r="C56" s="25">
        <v>34</v>
      </c>
      <c r="D56" s="26">
        <v>17</v>
      </c>
      <c r="E56" s="26">
        <v>29</v>
      </c>
      <c r="F56" s="26">
        <v>30</v>
      </c>
      <c r="G56" s="26">
        <v>50</v>
      </c>
      <c r="H56" s="26">
        <v>1</v>
      </c>
      <c r="I56" s="26">
        <v>0</v>
      </c>
      <c r="J56" s="26">
        <v>0</v>
      </c>
      <c r="K56" s="26">
        <v>7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0</v>
      </c>
      <c r="S56" s="26">
        <v>0</v>
      </c>
      <c r="T56" s="26">
        <v>0</v>
      </c>
      <c r="U56" s="26">
        <v>0</v>
      </c>
      <c r="V56" s="26">
        <v>0</v>
      </c>
      <c r="W56" s="26">
        <v>1</v>
      </c>
      <c r="X56" s="26">
        <v>20</v>
      </c>
      <c r="Y56" s="26">
        <v>0</v>
      </c>
      <c r="Z56" s="26">
        <v>0</v>
      </c>
      <c r="AA56" s="26">
        <v>0</v>
      </c>
      <c r="AB56" s="26">
        <v>1</v>
      </c>
      <c r="AC56" s="26">
        <v>0</v>
      </c>
      <c r="AD56" s="27">
        <f t="shared" si="1"/>
        <v>30</v>
      </c>
      <c r="AE56" s="26">
        <v>0</v>
      </c>
    </row>
    <row r="57" spans="1:31" x14ac:dyDescent="0.3">
      <c r="A57" s="23"/>
      <c r="B57" s="23"/>
      <c r="C57" s="23"/>
      <c r="D57" s="23"/>
      <c r="E57" s="23"/>
      <c r="F57" s="23"/>
      <c r="G57" s="23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</sheetData>
  <conditionalFormatting sqref="E55:F56 E2:F11 E13:F30 F12">
    <cfRule type="expression" dxfId="3" priority="10">
      <formula>E2&lt;D2</formula>
    </cfRule>
  </conditionalFormatting>
  <conditionalFormatting sqref="E31:F50 E52:F53">
    <cfRule type="expression" dxfId="2" priority="7">
      <formula>E31&lt;D31</formula>
    </cfRule>
  </conditionalFormatting>
  <conditionalFormatting sqref="E51:F51">
    <cfRule type="expression" dxfId="1" priority="4">
      <formula>E51&lt;D51</formula>
    </cfRule>
  </conditionalFormatting>
  <conditionalFormatting sqref="E54:F54">
    <cfRule type="expression" dxfId="0" priority="1">
      <formula>E54&lt;D54</formula>
    </cfRule>
  </conditionalFormatting>
  <pageMargins left="0.23622047244094491" right="0.23622047244094491" top="0.74803149606299213" bottom="0.74803149606299213" header="0.31496062992125984" footer="0.31496062992125984"/>
  <pageSetup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სამუშაო ფურცლები</vt:lpstr>
      </vt:variant>
      <vt:variant>
        <vt:i4>3</vt:i4>
      </vt:variant>
    </vt:vector>
  </HeadingPairs>
  <TitlesOfParts>
    <vt:vector size="3" baseType="lpstr">
      <vt:lpstr>პროპორციული</vt:lpstr>
      <vt:lpstr>მაჟ.  აჭარა</vt:lpstr>
      <vt:lpstr>პროპ. აჭარა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2020-11-05T08:48:02Z</cp:lastPrinted>
  <dcterms:created xsi:type="dcterms:W3CDTF">2014-07-31T10:11:31Z</dcterms:created>
  <dcterms:modified xsi:type="dcterms:W3CDTF">2021-04-12T20:40:34Z</dcterms:modified>
</cp:coreProperties>
</file>