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01"/>
  <workbookPr/>
  <mc:AlternateContent xmlns:mc="http://schemas.openxmlformats.org/markup-compatibility/2006">
    <mc:Choice Requires="x15">
      <x15ac:absPath xmlns:x15ac="http://schemas.microsoft.com/office/spreadsheetml/2010/11/ac" url="G:\My Drive\Election portal data sets\Election results\შედეგები\"/>
    </mc:Choice>
  </mc:AlternateContent>
  <xr:revisionPtr revIDLastSave="0" documentId="13_ncr:1_{478CB04A-6D69-4602-BE24-FF9D9685CF50}" xr6:coauthVersionLast="46" xr6:coauthVersionMax="46" xr10:uidLastSave="{00000000-0000-0000-0000-000000000000}"/>
  <bookViews>
    <workbookView xWindow="-108" yWindow="-108" windowWidth="23256" windowHeight="12576" activeTab="1" xr2:uid="{00000000-000D-0000-FFFF-FFFF00000000}"/>
  </bookViews>
  <sheets>
    <sheet name="პროპ" sheetId="11" r:id="rId1"/>
    <sheet name="მაჟორ" sheetId="1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75" i="15" l="1"/>
  <c r="H75" i="11" l="1"/>
  <c r="AD74" i="11"/>
  <c r="AD3" i="11"/>
  <c r="AD4" i="11"/>
  <c r="AD5" i="11"/>
  <c r="AD6" i="11"/>
  <c r="AD7" i="11"/>
  <c r="AD8" i="11"/>
  <c r="AD9" i="11"/>
  <c r="AD10" i="11"/>
  <c r="AD11" i="11"/>
  <c r="AD12" i="11"/>
  <c r="AD13" i="11"/>
  <c r="AD14" i="11"/>
  <c r="AD15" i="11"/>
  <c r="AD16" i="11"/>
  <c r="AD17" i="11"/>
  <c r="AD18" i="11"/>
  <c r="AD19" i="11"/>
  <c r="AD20" i="11"/>
  <c r="AD21" i="11"/>
  <c r="AD22" i="11"/>
  <c r="AD23" i="11"/>
  <c r="AD24" i="11"/>
  <c r="AD25" i="11"/>
  <c r="AD26" i="11"/>
  <c r="AD27" i="11"/>
  <c r="AD28" i="11"/>
  <c r="AD29" i="11"/>
  <c r="AD30" i="11"/>
  <c r="AD31" i="11"/>
  <c r="AD32" i="11"/>
  <c r="AD33" i="11"/>
  <c r="AD34" i="11"/>
  <c r="AD35" i="11"/>
  <c r="AD36" i="11"/>
  <c r="AD37" i="11"/>
  <c r="AD38" i="11"/>
  <c r="AD39" i="11"/>
  <c r="AD40" i="11"/>
  <c r="AD41" i="11"/>
  <c r="AD42" i="11"/>
  <c r="AD43" i="11"/>
  <c r="AD44" i="11"/>
  <c r="AD45" i="11"/>
  <c r="AD46" i="11"/>
  <c r="AD47" i="11"/>
  <c r="AD48" i="11"/>
  <c r="AD49" i="11"/>
  <c r="AD50" i="11"/>
  <c r="AD51" i="11"/>
  <c r="AD52" i="11"/>
  <c r="AD53" i="11"/>
  <c r="AD54" i="11"/>
  <c r="AD55" i="11"/>
  <c r="AD56" i="11"/>
  <c r="AD57" i="11"/>
  <c r="AD58" i="11"/>
  <c r="AD59" i="11"/>
  <c r="AD60" i="11"/>
  <c r="AD61" i="11"/>
  <c r="AD62" i="11"/>
  <c r="AD63" i="11"/>
  <c r="AD64" i="11"/>
  <c r="AD65" i="11"/>
  <c r="AD66" i="11"/>
  <c r="AD67" i="11"/>
  <c r="AD68" i="11"/>
  <c r="AD69" i="11"/>
  <c r="AD70" i="11"/>
  <c r="AD71" i="11"/>
  <c r="AD72" i="11"/>
  <c r="AD73" i="11"/>
  <c r="AD2" i="11"/>
  <c r="U2" i="15"/>
  <c r="B75" i="15"/>
  <c r="E75" i="15"/>
  <c r="C75" i="15"/>
  <c r="D75" i="15"/>
  <c r="F75" i="15"/>
  <c r="G75" i="15"/>
  <c r="H75" i="15"/>
  <c r="I75" i="15"/>
  <c r="J75" i="15"/>
  <c r="K75" i="15"/>
  <c r="L75" i="15"/>
  <c r="M75" i="15"/>
  <c r="N75" i="15"/>
  <c r="O75" i="15"/>
  <c r="P75" i="15"/>
  <c r="Q75" i="15"/>
  <c r="R75" i="15"/>
  <c r="S75" i="15"/>
  <c r="T75" i="15"/>
  <c r="C75" i="11"/>
  <c r="D75" i="11"/>
  <c r="E75" i="11"/>
  <c r="F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B75" i="11"/>
  <c r="AE75" i="11"/>
  <c r="AD75" i="11" l="1"/>
  <c r="K76" i="11" s="1"/>
  <c r="U3" i="15"/>
  <c r="U4" i="15"/>
  <c r="U5" i="15"/>
  <c r="U6" i="15"/>
  <c r="U7" i="15"/>
  <c r="U8" i="15"/>
  <c r="U9" i="15"/>
  <c r="U10" i="15"/>
  <c r="U11" i="15"/>
  <c r="U12" i="15"/>
  <c r="U13" i="15"/>
  <c r="U14" i="15"/>
  <c r="U15" i="15"/>
  <c r="U16" i="15"/>
  <c r="U17" i="15"/>
  <c r="U18" i="15"/>
  <c r="U19" i="15"/>
  <c r="U20" i="15"/>
  <c r="U21" i="15"/>
  <c r="U22" i="15"/>
  <c r="U23" i="15"/>
  <c r="U24" i="15"/>
  <c r="U25" i="15"/>
  <c r="U26" i="15"/>
  <c r="U27" i="15"/>
  <c r="U28" i="15"/>
  <c r="U29" i="15"/>
  <c r="U30" i="15"/>
  <c r="U31" i="15"/>
  <c r="U32" i="15"/>
  <c r="U33" i="15"/>
  <c r="U34" i="15"/>
  <c r="U35" i="15"/>
  <c r="U36" i="15"/>
  <c r="U37" i="15"/>
  <c r="U38" i="15"/>
  <c r="U39" i="15"/>
  <c r="U40" i="15"/>
  <c r="U41" i="15"/>
  <c r="U42" i="15"/>
  <c r="U43" i="15"/>
  <c r="U44" i="15"/>
  <c r="U45" i="15"/>
  <c r="U46" i="15"/>
  <c r="U47" i="15"/>
  <c r="U48" i="15"/>
  <c r="U49" i="15"/>
  <c r="U50" i="15"/>
  <c r="U51" i="15"/>
  <c r="U52" i="15"/>
  <c r="U53" i="15"/>
  <c r="U54" i="15"/>
  <c r="U55" i="15"/>
  <c r="U56" i="15"/>
  <c r="U57" i="15"/>
  <c r="U58" i="15"/>
  <c r="U59" i="15"/>
  <c r="U60" i="15"/>
  <c r="U61" i="15"/>
  <c r="U62" i="15"/>
  <c r="U63" i="15"/>
  <c r="U64" i="15"/>
  <c r="U65" i="15"/>
  <c r="U66" i="15"/>
  <c r="U67" i="15"/>
  <c r="U68" i="15"/>
  <c r="U69" i="15"/>
  <c r="U70" i="15"/>
  <c r="U71" i="15"/>
  <c r="U72" i="15"/>
  <c r="U73" i="15"/>
  <c r="U74" i="15"/>
  <c r="AA76" i="11" l="1"/>
  <c r="N76" i="11"/>
  <c r="T76" i="11"/>
  <c r="AB76" i="11"/>
  <c r="W76" i="11"/>
  <c r="Z76" i="11"/>
  <c r="M76" i="11"/>
  <c r="Q76" i="11"/>
  <c r="O76" i="11"/>
  <c r="L76" i="11"/>
  <c r="I76" i="11"/>
  <c r="S76" i="11"/>
  <c r="P76" i="11"/>
  <c r="J76" i="11"/>
  <c r="AC76" i="11"/>
  <c r="U75" i="15"/>
  <c r="P76" i="15" s="1"/>
  <c r="V76" i="11"/>
  <c r="X76" i="11"/>
  <c r="R76" i="11"/>
  <c r="U76" i="11"/>
  <c r="Y76" i="11"/>
  <c r="H76" i="11"/>
  <c r="J76" i="15" l="1"/>
  <c r="N76" i="15"/>
  <c r="O76" i="15"/>
  <c r="R76" i="15"/>
  <c r="L76" i="15"/>
  <c r="H76" i="15"/>
  <c r="K76" i="15"/>
  <c r="M76" i="15"/>
  <c r="S76" i="15"/>
  <c r="I76" i="15"/>
  <c r="Q76" i="15"/>
  <c r="T76" i="15"/>
  <c r="U76" i="15" l="1"/>
  <c r="AD76" i="11" l="1"/>
</calcChain>
</file>

<file path=xl/sharedStrings.xml><?xml version="1.0" encoding="utf-8"?>
<sst xmlns="http://schemas.openxmlformats.org/spreadsheetml/2006/main" count="199" uniqueCount="118">
  <si>
    <t>უბანი</t>
  </si>
  <si>
    <t>ამომრჩეველთა რაოდენობა ერთიან სიაში</t>
  </si>
  <si>
    <t>ამომრჩეველთა რაოდენობა სპეციალურ სიაში</t>
  </si>
  <si>
    <t>აქტივობა 12 სთ.</t>
  </si>
  <si>
    <t>აქტივობა 17 სთ.</t>
  </si>
  <si>
    <t>ბათილი ბიულეტენები</t>
  </si>
  <si>
    <t>ნამდვილი ბიულეტენები</t>
  </si>
  <si>
    <t>2   ბაქრაძე, უგულავა, ბოკერია - ევროპული საქართველო - მოძრაობა თავისუფლებისთვის</t>
  </si>
  <si>
    <t>3   ნინო ბურჯანაძე-ერთიანი საქართველო-დემოკრატიული მოძრაობა</t>
  </si>
  <si>
    <t>4   დავით ჭიჭინაძე ტრიბუნა - ქდმ</t>
  </si>
  <si>
    <t>5    საარჩევნო ბლოკი ერთიანი ნაციონალური მოძრაობა-გაერთიანებული ოპოზიცია „ძალა ერთობაშია“</t>
  </si>
  <si>
    <t>8   დავით თარხან-მოურავი, ირმა ინაშვილი - საქართველოს პატრიოტთა ალიანსი</t>
  </si>
  <si>
    <t>10  შალვა ნათელაშვილი - საქართველოს ლეიბორისტული პარტია</t>
  </si>
  <si>
    <t>14  ბეჟან გუნავა - ქართული არჩევანი</t>
  </si>
  <si>
    <t>17  ირაკლი ოქრუაშვილი - გამარჯვებული საქართველო</t>
  </si>
  <si>
    <t>19  ჩვენი საქართველო - სოლიდარობის ალიანსი</t>
  </si>
  <si>
    <t>21  თავისუფალი საქართველო (კახა კუკავა, გიორგი წულაია)</t>
  </si>
  <si>
    <t>24  ალეკო ელისაშვილი-მოქალაქეები</t>
  </si>
  <si>
    <t>26  ეკა ბესელია - პ.პ. „სამართლიანობისთვის“</t>
  </si>
  <si>
    <t>27  გიორგი ვაშაძე - სტრატეგია აღმაშენებელი</t>
  </si>
  <si>
    <t>31  თავისუფლება-ზვიად გამსახურდიას გზა</t>
  </si>
  <si>
    <t>34  სოციალური სამართლიანობისათვის</t>
  </si>
  <si>
    <t>36  გირჩი</t>
  </si>
  <si>
    <t>41  ქართული ოცნება - დემოკრატიული საქართველო</t>
  </si>
  <si>
    <t>44  ქართული იდეა</t>
  </si>
  <si>
    <t>47  ზვიად ძიძიგური - საქართველოს კონსერვატიული პარტია</t>
  </si>
  <si>
    <t>55  ქართული მარში - ეროვნული მოძრაობა</t>
  </si>
  <si>
    <t>56  ლელო-მამუკა ხაზარაძე</t>
  </si>
  <si>
    <t>61  ბაგრატიონი - სახე+</t>
  </si>
  <si>
    <t xml:space="preserve">29.81.01 </t>
  </si>
  <si>
    <t xml:space="preserve">29.81.02 </t>
  </si>
  <si>
    <t xml:space="preserve">29.81.03 </t>
  </si>
  <si>
    <t xml:space="preserve">29.81.04 </t>
  </si>
  <si>
    <t xml:space="preserve">29.81.05 </t>
  </si>
  <si>
    <t xml:space="preserve">29.81.06 </t>
  </si>
  <si>
    <t xml:space="preserve">29.81.07 </t>
  </si>
  <si>
    <t xml:space="preserve">29.81.08 </t>
  </si>
  <si>
    <t xml:space="preserve">29.81.09 </t>
  </si>
  <si>
    <t xml:space="preserve">29.81.10 </t>
  </si>
  <si>
    <t xml:space="preserve">29.81.11 </t>
  </si>
  <si>
    <t xml:space="preserve">29.81.12 </t>
  </si>
  <si>
    <t xml:space="preserve">29.81.13 </t>
  </si>
  <si>
    <t xml:space="preserve">29.81.14 </t>
  </si>
  <si>
    <t xml:space="preserve">29.81.15 </t>
  </si>
  <si>
    <t xml:space="preserve">29.81.16 </t>
  </si>
  <si>
    <t xml:space="preserve">29.81.17 </t>
  </si>
  <si>
    <t xml:space="preserve">29.81.18 </t>
  </si>
  <si>
    <t xml:space="preserve">29.81.19 </t>
  </si>
  <si>
    <t xml:space="preserve">29.81.20 </t>
  </si>
  <si>
    <t xml:space="preserve">29.81.21 </t>
  </si>
  <si>
    <t xml:space="preserve">29.81.22 </t>
  </si>
  <si>
    <t xml:space="preserve">29.81.23 </t>
  </si>
  <si>
    <t xml:space="preserve">29.81.24 </t>
  </si>
  <si>
    <t xml:space="preserve">29.81.25 </t>
  </si>
  <si>
    <t xml:space="preserve">29.81.26 </t>
  </si>
  <si>
    <t xml:space="preserve">29.81.27 </t>
  </si>
  <si>
    <t xml:space="preserve">29.81.28 </t>
  </si>
  <si>
    <t xml:space="preserve">29.81.29 </t>
  </si>
  <si>
    <t xml:space="preserve">29.81.30 </t>
  </si>
  <si>
    <t xml:space="preserve">29.81.31 </t>
  </si>
  <si>
    <t xml:space="preserve">29.81.32 </t>
  </si>
  <si>
    <t xml:space="preserve">29.81.33 </t>
  </si>
  <si>
    <t xml:space="preserve">29.81.34 </t>
  </si>
  <si>
    <t xml:space="preserve">29.81.35 </t>
  </si>
  <si>
    <t xml:space="preserve">29.81.36 </t>
  </si>
  <si>
    <t xml:space="preserve">29.81.37 </t>
  </si>
  <si>
    <t xml:space="preserve">29.81.38 </t>
  </si>
  <si>
    <t xml:space="preserve">29.81.39 </t>
  </si>
  <si>
    <t xml:space="preserve">29.81.40 </t>
  </si>
  <si>
    <t xml:space="preserve">29.81.41 </t>
  </si>
  <si>
    <t xml:space="preserve">29.81.42 </t>
  </si>
  <si>
    <t xml:space="preserve">29.81.43 </t>
  </si>
  <si>
    <t xml:space="preserve">29.81.44 </t>
  </si>
  <si>
    <t xml:space="preserve">29.81.45 </t>
  </si>
  <si>
    <t xml:space="preserve">29.81.46 </t>
  </si>
  <si>
    <t xml:space="preserve">29.81.47 </t>
  </si>
  <si>
    <t xml:space="preserve">29.81.48 </t>
  </si>
  <si>
    <t xml:space="preserve">29.81.49 </t>
  </si>
  <si>
    <t xml:space="preserve">29.81.50 </t>
  </si>
  <si>
    <t xml:space="preserve">29.81.51 </t>
  </si>
  <si>
    <t xml:space="preserve">29.81.52 </t>
  </si>
  <si>
    <t>29.81.53</t>
  </si>
  <si>
    <t>29.81.54</t>
  </si>
  <si>
    <t>29.81.55</t>
  </si>
  <si>
    <t>არჩევნებში მონაწილე ამომრჩეველთა საერთო რაოდენობა</t>
  </si>
  <si>
    <t>მიღებული ბიულეტენები ს რაოდენობა</t>
  </si>
  <si>
    <t>29.81.56</t>
  </si>
  <si>
    <t>29.81.57</t>
  </si>
  <si>
    <t>29.81.58</t>
  </si>
  <si>
    <t>29.81.59</t>
  </si>
  <si>
    <t>29.81.60</t>
  </si>
  <si>
    <t>29.81.61</t>
  </si>
  <si>
    <t>29.81.62</t>
  </si>
  <si>
    <t>29.81.63</t>
  </si>
  <si>
    <t>29.81.64</t>
  </si>
  <si>
    <t>29.81.65</t>
  </si>
  <si>
    <t>30.83.08</t>
  </si>
  <si>
    <t>30.83.09</t>
  </si>
  <si>
    <t>30.83.10</t>
  </si>
  <si>
    <t>30.83.11</t>
  </si>
  <si>
    <r>
      <rPr>
        <b/>
        <sz val="8"/>
        <color theme="1"/>
        <rFont val="Sylfaen"/>
        <family val="2"/>
        <scheme val="minor"/>
      </rPr>
      <t>2   რევაზ ჟალაღანია</t>
    </r>
    <r>
      <rPr>
        <sz val="8"/>
        <color theme="1"/>
        <rFont val="Sylfaen"/>
        <family val="2"/>
        <scheme val="minor"/>
      </rPr>
      <t xml:space="preserve"> - ბაქრაძე, უგულავა, ბოკერია - ევროპული საქართველო - მოძრაობა თავისუფლებისთვის</t>
    </r>
  </si>
  <si>
    <r>
      <rPr>
        <b/>
        <sz val="8"/>
        <color theme="1"/>
        <rFont val="Sylfaen"/>
        <family val="2"/>
        <scheme val="minor"/>
      </rPr>
      <t>3   იმედა თხილაიშვილი</t>
    </r>
    <r>
      <rPr>
        <sz val="8"/>
        <color theme="1"/>
        <rFont val="Sylfaen"/>
        <family val="2"/>
        <scheme val="minor"/>
      </rPr>
      <t xml:space="preserve"> - ნინო ბურჯანაძე-ერთიანი საქართველო-დემოკრატიული მოძრაობა</t>
    </r>
  </si>
  <si>
    <r>
      <rPr>
        <b/>
        <sz val="8"/>
        <color theme="1"/>
        <rFont val="Sylfaen"/>
        <family val="2"/>
        <scheme val="minor"/>
      </rPr>
      <t>5    ელგუჯა ბაგრატიონი</t>
    </r>
    <r>
      <rPr>
        <sz val="8"/>
        <color theme="1"/>
        <rFont val="Sylfaen"/>
        <family val="2"/>
        <scheme val="minor"/>
      </rPr>
      <t xml:space="preserve"> - საარჩევნო ბლოკი ერთიანი ნაციონალური მოძრაობა-გაერთიანებული ოპოზიცია „ძალა ერთობაშია“</t>
    </r>
  </si>
  <si>
    <r>
      <rPr>
        <b/>
        <sz val="8"/>
        <color theme="1"/>
        <rFont val="Sylfaen"/>
        <family val="2"/>
        <scheme val="minor"/>
      </rPr>
      <t>8   გულნარა ბასილაძე</t>
    </r>
    <r>
      <rPr>
        <sz val="8"/>
        <color theme="1"/>
        <rFont val="Sylfaen"/>
        <family val="2"/>
        <scheme val="minor"/>
      </rPr>
      <t xml:space="preserve"> - დავით თარხან-მოურავი, ირმა ინაშვილი - საქართველოს პატრიოტთა ალიანსი</t>
    </r>
  </si>
  <si>
    <r>
      <rPr>
        <b/>
        <sz val="8"/>
        <color theme="1"/>
        <rFont val="Sylfaen"/>
        <family val="2"/>
        <scheme val="minor"/>
      </rPr>
      <t>14  მუხრან მგელაძე</t>
    </r>
    <r>
      <rPr>
        <sz val="8"/>
        <color theme="1"/>
        <rFont val="Sylfaen"/>
        <family val="2"/>
        <scheme val="minor"/>
      </rPr>
      <t xml:space="preserve"> - ბეჟან გუნავა - ქართული არჩევანი</t>
    </r>
  </si>
  <si>
    <r>
      <rPr>
        <b/>
        <sz val="8"/>
        <color theme="1"/>
        <rFont val="Sylfaen"/>
        <family val="2"/>
        <scheme val="minor"/>
      </rPr>
      <t>19  ლაშა ვერულიძე</t>
    </r>
    <r>
      <rPr>
        <sz val="8"/>
        <color theme="1"/>
        <rFont val="Sylfaen"/>
        <family val="2"/>
        <scheme val="minor"/>
      </rPr>
      <t xml:space="preserve"> - ჩვენი საქართველო - სოლიდარობის ალიანსი</t>
    </r>
  </si>
  <si>
    <r>
      <rPr>
        <b/>
        <sz val="8"/>
        <color theme="1"/>
        <rFont val="Sylfaen"/>
        <family val="2"/>
        <scheme val="minor"/>
      </rPr>
      <t>26  კახა ცეცხლაძე</t>
    </r>
    <r>
      <rPr>
        <sz val="8"/>
        <color theme="1"/>
        <rFont val="Sylfaen"/>
        <family val="2"/>
        <scheme val="minor"/>
      </rPr>
      <t xml:space="preserve"> - ეკა ბესელია - პ.პ. „სამართლიანობისთვის“</t>
    </r>
  </si>
  <si>
    <r>
      <rPr>
        <b/>
        <sz val="8"/>
        <color theme="1"/>
        <rFont val="Sylfaen"/>
        <family val="2"/>
        <scheme val="minor"/>
      </rPr>
      <t>34  მალხაზ ხაბაზი</t>
    </r>
    <r>
      <rPr>
        <sz val="8"/>
        <color theme="1"/>
        <rFont val="Sylfaen"/>
        <family val="2"/>
        <scheme val="minor"/>
      </rPr>
      <t xml:space="preserve"> - სოციალური სამართლიანობისათვის</t>
    </r>
  </si>
  <si>
    <r>
      <rPr>
        <b/>
        <sz val="8"/>
        <color theme="1"/>
        <rFont val="Sylfaen"/>
        <family val="2"/>
        <scheme val="minor"/>
      </rPr>
      <t>41  ცოტნე ანანიძე</t>
    </r>
    <r>
      <rPr>
        <sz val="8"/>
        <color theme="1"/>
        <rFont val="Sylfaen"/>
        <family val="2"/>
        <scheme val="minor"/>
      </rPr>
      <t xml:space="preserve"> - ქართული ოცნება - დემოკრატიული საქართველო</t>
    </r>
  </si>
  <si>
    <r>
      <rPr>
        <b/>
        <sz val="8"/>
        <color theme="1"/>
        <rFont val="Sylfaen"/>
        <family val="2"/>
        <scheme val="minor"/>
      </rPr>
      <t>44  გიორგი ერქომაიშვილი</t>
    </r>
    <r>
      <rPr>
        <sz val="8"/>
        <color theme="1"/>
        <rFont val="Sylfaen"/>
        <family val="2"/>
        <scheme val="minor"/>
      </rPr>
      <t xml:space="preserve"> - ქართული იდეა</t>
    </r>
  </si>
  <si>
    <r>
      <rPr>
        <b/>
        <sz val="8"/>
        <color theme="1"/>
        <rFont val="Sylfaen"/>
        <family val="2"/>
        <scheme val="minor"/>
      </rPr>
      <t>55  გია გოგიტიძე</t>
    </r>
    <r>
      <rPr>
        <sz val="8"/>
        <color theme="1"/>
        <rFont val="Sylfaen"/>
        <family val="2"/>
        <scheme val="minor"/>
      </rPr>
      <t xml:space="preserve"> - ქართული მარში - ეროვნული მოძრაობა</t>
    </r>
  </si>
  <si>
    <r>
      <rPr>
        <b/>
        <sz val="8"/>
        <color theme="1"/>
        <rFont val="Sylfaen"/>
        <family val="2"/>
        <scheme val="minor"/>
      </rPr>
      <t>56  ზურაბ გოლიაძე</t>
    </r>
    <r>
      <rPr>
        <sz val="8"/>
        <color theme="1"/>
        <rFont val="Sylfaen"/>
        <family val="2"/>
        <scheme val="minor"/>
      </rPr>
      <t xml:space="preserve"> - ლელო-მამუკა ხაზარაძე</t>
    </r>
  </si>
  <si>
    <r>
      <rPr>
        <b/>
        <sz val="8"/>
        <color theme="1"/>
        <rFont val="Sylfaen"/>
        <family val="2"/>
        <scheme val="minor"/>
      </rPr>
      <t>61  ედნარ ბაგრატიონი</t>
    </r>
    <r>
      <rPr>
        <sz val="8"/>
        <color theme="1"/>
        <rFont val="Sylfaen"/>
        <family val="2"/>
        <scheme val="minor"/>
      </rPr>
      <t xml:space="preserve"> - ბაგრატიონი - სახე+</t>
    </r>
  </si>
  <si>
    <t>29.81.66</t>
  </si>
  <si>
    <t>29.81.67</t>
  </si>
  <si>
    <t>29.81.68</t>
  </si>
  <si>
    <t>29.81.69</t>
  </si>
  <si>
    <t>ამომრჩეველთა რაოდენობაიალურ სიაში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</si>
</sst>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Sylfaen"/>
      <family val="2"/>
      <scheme val="minor"/>
    </font>
    <font>
      <sz val="11"/>
      <color theme="1"/>
      <name val="Sylfaen"/>
      <family val="2"/>
      <scheme val="minor"/>
    </font>
    <font>
      <sz val="7"/>
      <color theme="1"/>
      <name val="Sylfaen"/>
      <family val="2"/>
      <scheme val="minor"/>
    </font>
    <font>
      <b/>
      <sz val="8"/>
      <color theme="1"/>
      <name val="Sylfaen"/>
      <family val="1"/>
    </font>
    <font>
      <sz val="8"/>
      <color theme="1"/>
      <name val="Sylfaen"/>
      <family val="1"/>
    </font>
    <font>
      <sz val="8"/>
      <name val="Sylfaen"/>
      <family val="2"/>
      <scheme val="minor"/>
    </font>
    <font>
      <b/>
      <sz val="8"/>
      <color theme="1"/>
      <name val="Sylfaen"/>
      <family val="2"/>
      <scheme val="minor"/>
    </font>
    <font>
      <sz val="8"/>
      <color theme="1"/>
      <name val="Sylfaen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2">
    <xf numFmtId="0" fontId="0" fillId="0" borderId="0" xfId="0"/>
    <xf numFmtId="0" fontId="0" fillId="0" borderId="0" xfId="0" applyFill="1"/>
    <xf numFmtId="0" fontId="2" fillId="0" borderId="0" xfId="0" applyFont="1" applyFill="1"/>
    <xf numFmtId="0" fontId="2" fillId="0" borderId="0" xfId="0" applyFont="1" applyFill="1" applyAlignment="1">
      <alignment textRotation="90"/>
    </xf>
    <xf numFmtId="3" fontId="4" fillId="0" borderId="1" xfId="0" applyNumberFormat="1" applyFont="1" applyFill="1" applyBorder="1" applyAlignment="1" applyProtection="1">
      <alignment horizontal="center" vertical="center"/>
    </xf>
    <xf numFmtId="3" fontId="4" fillId="0" borderId="1" xfId="0" applyNumberFormat="1" applyFont="1" applyFill="1" applyBorder="1" applyAlignment="1" applyProtection="1">
      <alignment horizontal="center" vertical="center"/>
      <protection locked="0"/>
    </xf>
    <xf numFmtId="3" fontId="4" fillId="0" borderId="3" xfId="0" applyNumberFormat="1" applyFont="1" applyFill="1" applyBorder="1" applyAlignment="1" applyProtection="1">
      <alignment horizontal="center" vertical="center"/>
    </xf>
    <xf numFmtId="0" fontId="7" fillId="0" borderId="1" xfId="0" applyFont="1" applyFill="1" applyBorder="1" applyAlignment="1">
      <alignment textRotation="90"/>
    </xf>
    <xf numFmtId="3" fontId="3" fillId="0" borderId="1" xfId="0" applyNumberFormat="1" applyFont="1" applyFill="1" applyBorder="1" applyAlignment="1" applyProtection="1">
      <alignment horizontal="center" vertical="center"/>
    </xf>
    <xf numFmtId="3" fontId="3" fillId="0" borderId="3" xfId="0" applyNumberFormat="1" applyFont="1" applyFill="1" applyBorder="1" applyAlignment="1" applyProtection="1">
      <alignment horizontal="center" vertical="center"/>
    </xf>
    <xf numFmtId="0" fontId="4" fillId="0" borderId="1" xfId="0" applyFont="1" applyFill="1" applyBorder="1" applyAlignment="1" applyProtection="1"/>
    <xf numFmtId="0" fontId="4" fillId="0" borderId="1" xfId="0" applyFont="1" applyFill="1" applyBorder="1" applyAlignment="1" applyProtection="1">
      <alignment horizontal="center" vertical="center"/>
      <protection locked="0"/>
    </xf>
    <xf numFmtId="10" fontId="3" fillId="0" borderId="1" xfId="1" applyNumberFormat="1" applyFont="1" applyFill="1" applyBorder="1" applyAlignment="1" applyProtection="1">
      <alignment horizontal="center" vertical="center"/>
      <protection locked="0"/>
    </xf>
    <xf numFmtId="9" fontId="3" fillId="0" borderId="0" xfId="1" applyFont="1" applyFill="1" applyAlignment="1" applyProtection="1">
      <alignment horizontal="center" vertical="center"/>
    </xf>
    <xf numFmtId="0" fontId="4" fillId="0" borderId="0" xfId="0" applyFont="1" applyFill="1" applyAlignment="1" applyProtection="1">
      <alignment horizontal="center" vertical="center"/>
      <protection locked="0"/>
    </xf>
    <xf numFmtId="0" fontId="7" fillId="0" borderId="0" xfId="0" applyFont="1" applyFill="1"/>
    <xf numFmtId="0" fontId="7" fillId="0" borderId="0" xfId="0" applyFont="1" applyFill="1" applyAlignment="1">
      <alignment textRotation="90"/>
    </xf>
    <xf numFmtId="49" fontId="4" fillId="0" borderId="1" xfId="0" applyNumberFormat="1" applyFont="1" applyFill="1" applyBorder="1" applyAlignment="1">
      <alignment horizontal="left" vertical="center"/>
    </xf>
    <xf numFmtId="3" fontId="4" fillId="2" borderId="1" xfId="0" applyNumberFormat="1" applyFont="1" applyFill="1" applyBorder="1" applyAlignment="1" applyProtection="1">
      <alignment horizontal="center" vertical="center"/>
      <protection locked="0"/>
    </xf>
    <xf numFmtId="3" fontId="3" fillId="2" borderId="1" xfId="0" applyNumberFormat="1" applyFont="1" applyFill="1" applyBorder="1" applyAlignment="1" applyProtection="1">
      <alignment horizontal="center" vertical="center"/>
    </xf>
    <xf numFmtId="0" fontId="4" fillId="2" borderId="1" xfId="0" applyFont="1" applyFill="1" applyBorder="1" applyAlignment="1" applyProtection="1">
      <alignment horizontal="center" vertical="center"/>
    </xf>
    <xf numFmtId="0" fontId="7" fillId="2" borderId="0" xfId="0" applyFont="1" applyFill="1" applyAlignment="1">
      <alignment textRotation="90"/>
    </xf>
    <xf numFmtId="0" fontId="2" fillId="2" borderId="0" xfId="0" applyFont="1" applyFill="1" applyAlignment="1">
      <alignment textRotation="90"/>
    </xf>
    <xf numFmtId="0" fontId="7" fillId="3" borderId="1" xfId="0" applyFont="1" applyFill="1" applyBorder="1" applyAlignment="1">
      <alignment horizontal="center" textRotation="90"/>
    </xf>
    <xf numFmtId="0" fontId="7" fillId="4" borderId="1" xfId="0" applyFont="1" applyFill="1" applyBorder="1" applyAlignment="1">
      <alignment horizontal="center" textRotation="90"/>
    </xf>
    <xf numFmtId="0" fontId="2" fillId="0" borderId="0" xfId="0" applyFont="1" applyFill="1" applyAlignment="1"/>
    <xf numFmtId="0" fontId="4" fillId="0" borderId="2" xfId="0" applyFont="1" applyFill="1" applyBorder="1" applyAlignment="1" applyProtection="1">
      <alignment vertical="center" textRotation="90"/>
      <protection locked="0"/>
    </xf>
    <xf numFmtId="0" fontId="4" fillId="5" borderId="2" xfId="0" applyFont="1" applyFill="1" applyBorder="1" applyAlignment="1" applyProtection="1">
      <alignment vertical="center" textRotation="90"/>
      <protection locked="0"/>
    </xf>
    <xf numFmtId="0" fontId="4" fillId="0" borderId="1" xfId="0" applyFont="1" applyFill="1" applyBorder="1" applyAlignment="1" applyProtection="1">
      <alignment vertical="center" textRotation="90"/>
    </xf>
    <xf numFmtId="0" fontId="4" fillId="2" borderId="2" xfId="0" applyFont="1" applyFill="1" applyBorder="1" applyAlignment="1" applyProtection="1">
      <alignment vertical="center" textRotation="90"/>
      <protection locked="0"/>
    </xf>
    <xf numFmtId="0" fontId="4" fillId="0" borderId="2" xfId="0" applyFont="1" applyFill="1" applyBorder="1" applyAlignment="1" applyProtection="1">
      <alignment vertical="center" textRotation="90"/>
    </xf>
    <xf numFmtId="0" fontId="7" fillId="0" borderId="0" xfId="0" applyFont="1" applyFill="1" applyAlignment="1"/>
  </cellXfs>
  <cellStyles count="2">
    <cellStyle name="პროცენტი" xfId="1" builtinId="5"/>
    <cellStyle name="ჩვეულებრივი" xfId="0" builtinId="0"/>
  </cellStyles>
  <dxfs count="4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76"/>
  <sheetViews>
    <sheetView topLeftCell="R1" zoomScale="106" zoomScaleNormal="106" workbookViewId="0">
      <selection activeCell="AF1" sqref="AF1:XFD1048576"/>
    </sheetView>
  </sheetViews>
  <sheetFormatPr defaultColWidth="9.109375" defaultRowHeight="14.4" x14ac:dyDescent="0.3"/>
  <cols>
    <col min="1" max="1" width="11.109375" style="3" bestFit="1" customWidth="1"/>
    <col min="2" max="2" width="6.77734375" style="3" customWidth="1"/>
    <col min="3" max="3" width="5.6640625" style="3" customWidth="1"/>
    <col min="4" max="4" width="6.6640625" style="3" customWidth="1"/>
    <col min="5" max="5" width="7.33203125" style="3" customWidth="1"/>
    <col min="6" max="6" width="6.77734375" style="22" customWidth="1"/>
    <col min="7" max="7" width="7" style="3" customWidth="1"/>
    <col min="8" max="23" width="6.77734375" style="2" customWidth="1"/>
    <col min="24" max="24" width="7.21875" style="2" customWidth="1"/>
    <col min="25" max="29" width="6.77734375" style="2" customWidth="1"/>
    <col min="30" max="30" width="7.109375" style="2" customWidth="1"/>
    <col min="31" max="31" width="5.6640625" style="2" customWidth="1"/>
    <col min="32" max="16384" width="9.109375" style="1"/>
  </cols>
  <sheetData>
    <row r="1" spans="1:31" ht="44.25" customHeight="1" x14ac:dyDescent="0.3">
      <c r="A1" s="28" t="s">
        <v>0</v>
      </c>
      <c r="B1" s="30" t="s">
        <v>1</v>
      </c>
      <c r="C1" s="26" t="s">
        <v>2</v>
      </c>
      <c r="D1" s="26" t="s">
        <v>3</v>
      </c>
      <c r="E1" s="26" t="s">
        <v>4</v>
      </c>
      <c r="F1" s="29" t="s">
        <v>84</v>
      </c>
      <c r="G1" s="26" t="s">
        <v>85</v>
      </c>
      <c r="H1" s="23" t="s">
        <v>7</v>
      </c>
      <c r="I1" s="23" t="s">
        <v>8</v>
      </c>
      <c r="J1" s="23" t="s">
        <v>9</v>
      </c>
      <c r="K1" s="24" t="s">
        <v>10</v>
      </c>
      <c r="L1" s="23" t="s">
        <v>11</v>
      </c>
      <c r="M1" s="23" t="s">
        <v>12</v>
      </c>
      <c r="N1" s="23" t="s">
        <v>13</v>
      </c>
      <c r="O1" s="23" t="s">
        <v>14</v>
      </c>
      <c r="P1" s="23" t="s">
        <v>15</v>
      </c>
      <c r="Q1" s="23" t="s">
        <v>16</v>
      </c>
      <c r="R1" s="23" t="s">
        <v>17</v>
      </c>
      <c r="S1" s="23" t="s">
        <v>18</v>
      </c>
      <c r="T1" s="23" t="s">
        <v>19</v>
      </c>
      <c r="U1" s="23" t="s">
        <v>20</v>
      </c>
      <c r="V1" s="23" t="s">
        <v>21</v>
      </c>
      <c r="W1" s="23" t="s">
        <v>22</v>
      </c>
      <c r="X1" s="23" t="s">
        <v>23</v>
      </c>
      <c r="Y1" s="23" t="s">
        <v>24</v>
      </c>
      <c r="Z1" s="23" t="s">
        <v>25</v>
      </c>
      <c r="AA1" s="23" t="s">
        <v>26</v>
      </c>
      <c r="AB1" s="23" t="s">
        <v>27</v>
      </c>
      <c r="AC1" s="23" t="s">
        <v>28</v>
      </c>
      <c r="AD1" s="26" t="s">
        <v>6</v>
      </c>
      <c r="AE1" s="27" t="s">
        <v>5</v>
      </c>
    </row>
    <row r="2" spans="1:31" x14ac:dyDescent="0.3">
      <c r="A2" s="17" t="s">
        <v>29</v>
      </c>
      <c r="B2" s="4">
        <v>829</v>
      </c>
      <c r="C2" s="4">
        <v>9</v>
      </c>
      <c r="D2" s="5">
        <v>151</v>
      </c>
      <c r="E2" s="5">
        <v>401</v>
      </c>
      <c r="F2" s="18">
        <v>537</v>
      </c>
      <c r="G2" s="5">
        <v>750</v>
      </c>
      <c r="H2" s="5">
        <v>12</v>
      </c>
      <c r="I2" s="5">
        <v>9</v>
      </c>
      <c r="J2" s="5">
        <v>2</v>
      </c>
      <c r="K2" s="5">
        <v>188</v>
      </c>
      <c r="L2" s="5">
        <v>11</v>
      </c>
      <c r="M2" s="5">
        <v>3</v>
      </c>
      <c r="N2" s="5"/>
      <c r="O2" s="5"/>
      <c r="P2" s="5"/>
      <c r="Q2" s="5"/>
      <c r="R2" s="5">
        <v>5</v>
      </c>
      <c r="S2" s="5"/>
      <c r="T2" s="5">
        <v>6</v>
      </c>
      <c r="U2" s="5"/>
      <c r="V2" s="5"/>
      <c r="W2" s="5">
        <v>3</v>
      </c>
      <c r="X2" s="5">
        <v>277</v>
      </c>
      <c r="Y2" s="5">
        <v>2</v>
      </c>
      <c r="Z2" s="5"/>
      <c r="AA2" s="5"/>
      <c r="AB2" s="5">
        <v>4</v>
      </c>
      <c r="AC2" s="5">
        <v>3</v>
      </c>
      <c r="AD2" s="6">
        <f>SUM(H2:AC2)</f>
        <v>525</v>
      </c>
      <c r="AE2" s="5">
        <v>11</v>
      </c>
    </row>
    <row r="3" spans="1:31" x14ac:dyDescent="0.3">
      <c r="A3" s="17" t="s">
        <v>30</v>
      </c>
      <c r="B3" s="4">
        <v>1040</v>
      </c>
      <c r="C3" s="4">
        <v>12</v>
      </c>
      <c r="D3" s="5">
        <v>173</v>
      </c>
      <c r="E3" s="5">
        <v>430</v>
      </c>
      <c r="F3" s="18">
        <v>552</v>
      </c>
      <c r="G3" s="5">
        <v>900</v>
      </c>
      <c r="H3" s="5">
        <v>9</v>
      </c>
      <c r="I3" s="5">
        <v>14</v>
      </c>
      <c r="J3" s="5">
        <v>1</v>
      </c>
      <c r="K3" s="5">
        <v>148</v>
      </c>
      <c r="L3" s="5">
        <v>20</v>
      </c>
      <c r="M3" s="5">
        <v>2</v>
      </c>
      <c r="N3" s="5"/>
      <c r="O3" s="5"/>
      <c r="P3" s="5">
        <v>4</v>
      </c>
      <c r="Q3" s="5">
        <v>6</v>
      </c>
      <c r="R3" s="5">
        <v>5</v>
      </c>
      <c r="S3" s="5"/>
      <c r="T3" s="5">
        <v>12</v>
      </c>
      <c r="U3" s="5">
        <v>1</v>
      </c>
      <c r="V3" s="5"/>
      <c r="W3" s="5">
        <v>10</v>
      </c>
      <c r="X3" s="5">
        <v>267</v>
      </c>
      <c r="Y3" s="5">
        <v>14</v>
      </c>
      <c r="Z3" s="5"/>
      <c r="AA3" s="5">
        <v>8</v>
      </c>
      <c r="AB3" s="5">
        <v>13</v>
      </c>
      <c r="AC3" s="5">
        <v>3</v>
      </c>
      <c r="AD3" s="6">
        <f t="shared" ref="AD3:AD66" si="0">SUM(H3:AC3)</f>
        <v>537</v>
      </c>
      <c r="AE3" s="5">
        <v>15</v>
      </c>
    </row>
    <row r="4" spans="1:31" x14ac:dyDescent="0.3">
      <c r="A4" s="17" t="s">
        <v>31</v>
      </c>
      <c r="B4" s="4">
        <v>1132</v>
      </c>
      <c r="C4" s="4">
        <v>10</v>
      </c>
      <c r="D4" s="5">
        <v>200</v>
      </c>
      <c r="E4" s="5">
        <v>520</v>
      </c>
      <c r="F4" s="18">
        <v>600</v>
      </c>
      <c r="G4" s="5">
        <v>1000</v>
      </c>
      <c r="H4" s="5">
        <v>16</v>
      </c>
      <c r="I4" s="5">
        <v>11</v>
      </c>
      <c r="J4" s="5"/>
      <c r="K4" s="5">
        <v>183</v>
      </c>
      <c r="L4" s="5">
        <v>13</v>
      </c>
      <c r="M4" s="5"/>
      <c r="N4" s="5">
        <v>3</v>
      </c>
      <c r="O4" s="5"/>
      <c r="P4" s="5">
        <v>2</v>
      </c>
      <c r="Q4" s="5">
        <v>3</v>
      </c>
      <c r="R4" s="5">
        <v>3</v>
      </c>
      <c r="S4" s="5">
        <v>4</v>
      </c>
      <c r="T4" s="5">
        <v>8</v>
      </c>
      <c r="U4" s="5">
        <v>1</v>
      </c>
      <c r="V4" s="5"/>
      <c r="W4" s="5">
        <v>2</v>
      </c>
      <c r="X4" s="5">
        <v>292</v>
      </c>
      <c r="Y4" s="5">
        <v>8</v>
      </c>
      <c r="Z4" s="5"/>
      <c r="AA4" s="5">
        <v>1</v>
      </c>
      <c r="AB4" s="5">
        <v>28</v>
      </c>
      <c r="AC4" s="5"/>
      <c r="AD4" s="6">
        <f t="shared" si="0"/>
        <v>578</v>
      </c>
      <c r="AE4" s="5">
        <v>22</v>
      </c>
    </row>
    <row r="5" spans="1:31" x14ac:dyDescent="0.3">
      <c r="A5" s="17" t="s">
        <v>32</v>
      </c>
      <c r="B5" s="4">
        <v>1058</v>
      </c>
      <c r="C5" s="4">
        <v>11</v>
      </c>
      <c r="D5" s="5">
        <v>194</v>
      </c>
      <c r="E5" s="5">
        <v>532</v>
      </c>
      <c r="F5" s="18">
        <v>650</v>
      </c>
      <c r="G5" s="5">
        <v>950</v>
      </c>
      <c r="H5" s="5">
        <v>12</v>
      </c>
      <c r="I5" s="5">
        <v>6</v>
      </c>
      <c r="J5" s="5">
        <v>3</v>
      </c>
      <c r="K5" s="5">
        <v>122</v>
      </c>
      <c r="L5" s="5">
        <v>13</v>
      </c>
      <c r="M5" s="5">
        <v>6</v>
      </c>
      <c r="N5" s="5"/>
      <c r="O5" s="5">
        <v>1</v>
      </c>
      <c r="P5" s="5">
        <v>7</v>
      </c>
      <c r="Q5" s="5">
        <v>1</v>
      </c>
      <c r="R5" s="5">
        <v>3</v>
      </c>
      <c r="S5" s="5">
        <v>1</v>
      </c>
      <c r="T5" s="5">
        <v>14</v>
      </c>
      <c r="U5" s="5"/>
      <c r="V5" s="5"/>
      <c r="W5" s="5">
        <v>10</v>
      </c>
      <c r="X5" s="5">
        <v>382</v>
      </c>
      <c r="Y5" s="5">
        <v>8</v>
      </c>
      <c r="Z5" s="5"/>
      <c r="AA5" s="5">
        <v>4</v>
      </c>
      <c r="AB5" s="5">
        <v>29</v>
      </c>
      <c r="AC5" s="5">
        <v>1</v>
      </c>
      <c r="AD5" s="6">
        <f t="shared" si="0"/>
        <v>623</v>
      </c>
      <c r="AE5" s="5">
        <v>26</v>
      </c>
    </row>
    <row r="6" spans="1:31" x14ac:dyDescent="0.3">
      <c r="A6" s="17" t="s">
        <v>33</v>
      </c>
      <c r="B6" s="4">
        <v>1181</v>
      </c>
      <c r="C6" s="4">
        <v>12</v>
      </c>
      <c r="D6" s="5">
        <v>206</v>
      </c>
      <c r="E6" s="5">
        <v>545</v>
      </c>
      <c r="F6" s="18">
        <v>630</v>
      </c>
      <c r="G6" s="5">
        <v>1050</v>
      </c>
      <c r="H6" s="5">
        <v>8</v>
      </c>
      <c r="I6" s="5">
        <v>6</v>
      </c>
      <c r="J6" s="5"/>
      <c r="K6" s="5">
        <v>222</v>
      </c>
      <c r="L6" s="5">
        <v>19</v>
      </c>
      <c r="M6" s="5">
        <v>9</v>
      </c>
      <c r="N6" s="5"/>
      <c r="O6" s="5"/>
      <c r="P6" s="5">
        <v>4</v>
      </c>
      <c r="Q6" s="5">
        <v>8</v>
      </c>
      <c r="R6" s="5">
        <v>8</v>
      </c>
      <c r="S6" s="5"/>
      <c r="T6" s="5">
        <v>25</v>
      </c>
      <c r="U6" s="5">
        <v>1</v>
      </c>
      <c r="V6" s="5">
        <v>15</v>
      </c>
      <c r="W6" s="5">
        <v>12</v>
      </c>
      <c r="X6" s="5">
        <v>256</v>
      </c>
      <c r="Y6" s="5">
        <v>10</v>
      </c>
      <c r="Z6" s="5"/>
      <c r="AA6" s="5">
        <v>2</v>
      </c>
      <c r="AB6" s="5">
        <v>14</v>
      </c>
      <c r="AC6" s="5"/>
      <c r="AD6" s="6">
        <f t="shared" si="0"/>
        <v>619</v>
      </c>
      <c r="AE6" s="5">
        <v>10</v>
      </c>
    </row>
    <row r="7" spans="1:31" x14ac:dyDescent="0.3">
      <c r="A7" s="17" t="s">
        <v>34</v>
      </c>
      <c r="B7" s="4">
        <v>722</v>
      </c>
      <c r="C7" s="4">
        <v>9</v>
      </c>
      <c r="D7" s="5">
        <v>122</v>
      </c>
      <c r="E7" s="5">
        <v>358</v>
      </c>
      <c r="F7" s="18">
        <v>441</v>
      </c>
      <c r="G7" s="5">
        <v>650</v>
      </c>
      <c r="H7" s="5">
        <v>6</v>
      </c>
      <c r="I7" s="5">
        <v>3</v>
      </c>
      <c r="J7" s="5">
        <v>5</v>
      </c>
      <c r="K7" s="5">
        <v>83</v>
      </c>
      <c r="L7" s="5">
        <v>28</v>
      </c>
      <c r="M7" s="5">
        <v>2</v>
      </c>
      <c r="N7" s="5"/>
      <c r="O7" s="5">
        <v>1</v>
      </c>
      <c r="P7" s="5">
        <v>1</v>
      </c>
      <c r="Q7" s="5">
        <v>6</v>
      </c>
      <c r="R7" s="5">
        <v>3</v>
      </c>
      <c r="S7" s="5">
        <v>5</v>
      </c>
      <c r="T7" s="5">
        <v>6</v>
      </c>
      <c r="U7" s="5">
        <v>1</v>
      </c>
      <c r="V7" s="5"/>
      <c r="W7" s="5">
        <v>10</v>
      </c>
      <c r="X7" s="5">
        <v>254</v>
      </c>
      <c r="Y7" s="5">
        <v>7</v>
      </c>
      <c r="Z7" s="5"/>
      <c r="AA7" s="5">
        <v>2</v>
      </c>
      <c r="AB7" s="5">
        <v>11</v>
      </c>
      <c r="AC7" s="5">
        <v>4</v>
      </c>
      <c r="AD7" s="6">
        <f t="shared" si="0"/>
        <v>438</v>
      </c>
      <c r="AE7" s="5">
        <v>2</v>
      </c>
    </row>
    <row r="8" spans="1:31" x14ac:dyDescent="0.3">
      <c r="A8" s="17" t="s">
        <v>35</v>
      </c>
      <c r="B8" s="4">
        <v>1229</v>
      </c>
      <c r="C8" s="4">
        <v>10</v>
      </c>
      <c r="D8" s="5">
        <v>240</v>
      </c>
      <c r="E8" s="5">
        <v>560</v>
      </c>
      <c r="F8" s="18">
        <v>694</v>
      </c>
      <c r="G8" s="5">
        <v>1100</v>
      </c>
      <c r="H8" s="5">
        <v>15</v>
      </c>
      <c r="I8" s="5">
        <v>8</v>
      </c>
      <c r="J8" s="5">
        <v>2</v>
      </c>
      <c r="K8" s="5">
        <v>152</v>
      </c>
      <c r="L8" s="5">
        <v>16</v>
      </c>
      <c r="M8" s="5">
        <v>4</v>
      </c>
      <c r="N8" s="5">
        <v>1</v>
      </c>
      <c r="O8" s="5">
        <v>1</v>
      </c>
      <c r="P8" s="5">
        <v>6</v>
      </c>
      <c r="Q8" s="5">
        <v>3</v>
      </c>
      <c r="R8" s="5">
        <v>6</v>
      </c>
      <c r="S8" s="5">
        <v>10</v>
      </c>
      <c r="T8" s="5">
        <v>9</v>
      </c>
      <c r="U8" s="5">
        <v>2</v>
      </c>
      <c r="V8" s="5">
        <v>3</v>
      </c>
      <c r="W8" s="5">
        <v>16</v>
      </c>
      <c r="X8" s="5">
        <v>357</v>
      </c>
      <c r="Y8" s="5">
        <v>20</v>
      </c>
      <c r="Z8" s="5">
        <v>1</v>
      </c>
      <c r="AA8" s="5">
        <v>7</v>
      </c>
      <c r="AB8" s="5">
        <v>21</v>
      </c>
      <c r="AC8" s="5">
        <v>1</v>
      </c>
      <c r="AD8" s="6">
        <f t="shared" si="0"/>
        <v>661</v>
      </c>
      <c r="AE8" s="5">
        <v>30</v>
      </c>
    </row>
    <row r="9" spans="1:31" x14ac:dyDescent="0.3">
      <c r="A9" s="17" t="s">
        <v>36</v>
      </c>
      <c r="B9" s="4">
        <v>803</v>
      </c>
      <c r="C9" s="4">
        <v>6</v>
      </c>
      <c r="D9" s="5">
        <v>145</v>
      </c>
      <c r="E9" s="5">
        <v>391</v>
      </c>
      <c r="F9" s="18">
        <v>485</v>
      </c>
      <c r="G9" s="5">
        <v>700</v>
      </c>
      <c r="H9" s="5">
        <v>8</v>
      </c>
      <c r="I9" s="5">
        <v>6</v>
      </c>
      <c r="J9" s="5">
        <v>1</v>
      </c>
      <c r="K9" s="5">
        <v>116</v>
      </c>
      <c r="L9" s="5">
        <v>14</v>
      </c>
      <c r="M9" s="5"/>
      <c r="N9" s="5"/>
      <c r="O9" s="5"/>
      <c r="P9" s="5">
        <v>2</v>
      </c>
      <c r="Q9" s="5">
        <v>4</v>
      </c>
      <c r="R9" s="5">
        <v>3</v>
      </c>
      <c r="S9" s="5">
        <v>3</v>
      </c>
      <c r="T9" s="5">
        <v>7</v>
      </c>
      <c r="U9" s="5"/>
      <c r="V9" s="5">
        <v>3</v>
      </c>
      <c r="W9" s="5">
        <v>12</v>
      </c>
      <c r="X9" s="5">
        <v>270</v>
      </c>
      <c r="Y9" s="5">
        <v>8</v>
      </c>
      <c r="Z9" s="5">
        <v>1</v>
      </c>
      <c r="AA9" s="5"/>
      <c r="AB9" s="5">
        <v>4</v>
      </c>
      <c r="AC9" s="5"/>
      <c r="AD9" s="6">
        <f t="shared" si="0"/>
        <v>462</v>
      </c>
      <c r="AE9" s="5">
        <v>21</v>
      </c>
    </row>
    <row r="10" spans="1:31" x14ac:dyDescent="0.3">
      <c r="A10" s="17" t="s">
        <v>37</v>
      </c>
      <c r="B10" s="4">
        <v>1301</v>
      </c>
      <c r="C10" s="4">
        <v>8</v>
      </c>
      <c r="D10" s="5">
        <v>198</v>
      </c>
      <c r="E10" s="5">
        <v>544</v>
      </c>
      <c r="F10" s="18">
        <v>784</v>
      </c>
      <c r="G10" s="5">
        <v>1200</v>
      </c>
      <c r="H10" s="5">
        <v>15</v>
      </c>
      <c r="I10" s="5">
        <v>5</v>
      </c>
      <c r="J10" s="5">
        <v>1</v>
      </c>
      <c r="K10" s="5">
        <v>204</v>
      </c>
      <c r="L10" s="5">
        <v>54</v>
      </c>
      <c r="M10" s="5">
        <v>2</v>
      </c>
      <c r="N10" s="5"/>
      <c r="O10" s="5"/>
      <c r="P10" s="5">
        <v>35</v>
      </c>
      <c r="Q10" s="5">
        <v>3</v>
      </c>
      <c r="R10" s="5">
        <v>5</v>
      </c>
      <c r="S10" s="5">
        <v>9</v>
      </c>
      <c r="T10" s="5">
        <v>20</v>
      </c>
      <c r="U10" s="5"/>
      <c r="V10" s="5">
        <v>2</v>
      </c>
      <c r="W10" s="5">
        <v>16</v>
      </c>
      <c r="X10" s="5">
        <v>353</v>
      </c>
      <c r="Y10" s="5">
        <v>6</v>
      </c>
      <c r="Z10" s="5"/>
      <c r="AA10" s="5">
        <v>3</v>
      </c>
      <c r="AB10" s="5">
        <v>17</v>
      </c>
      <c r="AC10" s="5"/>
      <c r="AD10" s="6">
        <f t="shared" si="0"/>
        <v>750</v>
      </c>
      <c r="AE10" s="5">
        <v>31</v>
      </c>
    </row>
    <row r="11" spans="1:31" ht="12" customHeight="1" x14ac:dyDescent="0.3">
      <c r="A11" s="17" t="s">
        <v>38</v>
      </c>
      <c r="B11" s="4">
        <v>1381</v>
      </c>
      <c r="C11" s="4">
        <v>5</v>
      </c>
      <c r="D11" s="5">
        <v>242</v>
      </c>
      <c r="E11" s="5">
        <v>646</v>
      </c>
      <c r="F11" s="18">
        <v>874</v>
      </c>
      <c r="G11" s="5">
        <v>1300</v>
      </c>
      <c r="H11" s="5">
        <v>18</v>
      </c>
      <c r="I11" s="5">
        <v>5</v>
      </c>
      <c r="J11" s="5">
        <v>4</v>
      </c>
      <c r="K11" s="5">
        <v>267</v>
      </c>
      <c r="L11" s="5">
        <v>41</v>
      </c>
      <c r="M11" s="5">
        <v>8</v>
      </c>
      <c r="N11" s="5"/>
      <c r="O11" s="5"/>
      <c r="P11" s="5">
        <v>20</v>
      </c>
      <c r="Q11" s="5">
        <v>1</v>
      </c>
      <c r="R11" s="5">
        <v>6</v>
      </c>
      <c r="S11" s="5">
        <v>1</v>
      </c>
      <c r="T11" s="5">
        <v>16</v>
      </c>
      <c r="U11" s="5"/>
      <c r="V11" s="5"/>
      <c r="W11" s="5">
        <v>10</v>
      </c>
      <c r="X11" s="5">
        <v>402</v>
      </c>
      <c r="Y11" s="5">
        <v>18</v>
      </c>
      <c r="Z11" s="5"/>
      <c r="AA11" s="5">
        <v>1</v>
      </c>
      <c r="AB11" s="5">
        <v>9</v>
      </c>
      <c r="AC11" s="5">
        <v>1</v>
      </c>
      <c r="AD11" s="6">
        <f t="shared" si="0"/>
        <v>828</v>
      </c>
      <c r="AE11" s="5">
        <v>41</v>
      </c>
    </row>
    <row r="12" spans="1:31" x14ac:dyDescent="0.3">
      <c r="A12" s="17" t="s">
        <v>39</v>
      </c>
      <c r="B12" s="4">
        <v>1225</v>
      </c>
      <c r="C12" s="4">
        <v>6</v>
      </c>
      <c r="D12" s="5">
        <v>268</v>
      </c>
      <c r="E12" s="5">
        <v>670</v>
      </c>
      <c r="F12" s="18">
        <v>816</v>
      </c>
      <c r="G12" s="5">
        <v>1100</v>
      </c>
      <c r="H12" s="5">
        <v>10</v>
      </c>
      <c r="I12" s="5">
        <v>7</v>
      </c>
      <c r="J12" s="5"/>
      <c r="K12" s="5">
        <v>428</v>
      </c>
      <c r="L12" s="5">
        <v>12</v>
      </c>
      <c r="M12" s="5">
        <v>10</v>
      </c>
      <c r="N12" s="5"/>
      <c r="O12" s="5"/>
      <c r="P12" s="5"/>
      <c r="Q12" s="5"/>
      <c r="R12" s="5"/>
      <c r="S12" s="5"/>
      <c r="T12" s="5">
        <v>18</v>
      </c>
      <c r="U12" s="5"/>
      <c r="V12" s="5"/>
      <c r="W12" s="5">
        <v>8</v>
      </c>
      <c r="X12" s="5">
        <v>313</v>
      </c>
      <c r="Y12" s="5"/>
      <c r="Z12" s="5"/>
      <c r="AA12" s="5">
        <v>10</v>
      </c>
      <c r="AB12" s="5"/>
      <c r="AC12" s="5"/>
      <c r="AD12" s="6">
        <f t="shared" si="0"/>
        <v>816</v>
      </c>
      <c r="AE12" s="5"/>
    </row>
    <row r="13" spans="1:31" x14ac:dyDescent="0.3">
      <c r="A13" s="17" t="s">
        <v>40</v>
      </c>
      <c r="B13" s="4">
        <v>1560</v>
      </c>
      <c r="C13" s="4">
        <v>2</v>
      </c>
      <c r="D13" s="5">
        <v>281</v>
      </c>
      <c r="E13" s="5">
        <v>714</v>
      </c>
      <c r="F13" s="18">
        <v>1102</v>
      </c>
      <c r="G13" s="5">
        <v>1450</v>
      </c>
      <c r="H13" s="5">
        <v>52</v>
      </c>
      <c r="I13" s="5">
        <v>6</v>
      </c>
      <c r="J13" s="5"/>
      <c r="K13" s="5">
        <v>559</v>
      </c>
      <c r="L13" s="5">
        <v>16</v>
      </c>
      <c r="M13" s="5">
        <v>1</v>
      </c>
      <c r="N13" s="5">
        <v>2</v>
      </c>
      <c r="O13" s="5">
        <v>1</v>
      </c>
      <c r="P13" s="5"/>
      <c r="Q13" s="5">
        <v>4</v>
      </c>
      <c r="R13" s="5">
        <v>1</v>
      </c>
      <c r="S13" s="5">
        <v>1</v>
      </c>
      <c r="T13" s="5">
        <v>14</v>
      </c>
      <c r="U13" s="5">
        <v>1</v>
      </c>
      <c r="V13" s="5">
        <v>1</v>
      </c>
      <c r="W13" s="5">
        <v>4</v>
      </c>
      <c r="X13" s="5">
        <v>411</v>
      </c>
      <c r="Y13" s="5"/>
      <c r="Z13" s="5">
        <v>2</v>
      </c>
      <c r="AA13" s="5">
        <v>2</v>
      </c>
      <c r="AB13" s="5">
        <v>5</v>
      </c>
      <c r="AC13" s="5">
        <v>1</v>
      </c>
      <c r="AD13" s="6">
        <f t="shared" si="0"/>
        <v>1084</v>
      </c>
      <c r="AE13" s="5">
        <v>18</v>
      </c>
    </row>
    <row r="14" spans="1:31" x14ac:dyDescent="0.3">
      <c r="A14" s="17" t="s">
        <v>41</v>
      </c>
      <c r="B14" s="4">
        <v>992</v>
      </c>
      <c r="C14" s="4">
        <v>4</v>
      </c>
      <c r="D14" s="5">
        <v>140</v>
      </c>
      <c r="E14" s="5">
        <v>420</v>
      </c>
      <c r="F14" s="18">
        <v>607</v>
      </c>
      <c r="G14" s="5">
        <v>900</v>
      </c>
      <c r="H14" s="5">
        <v>9</v>
      </c>
      <c r="I14" s="5">
        <v>9</v>
      </c>
      <c r="J14" s="5">
        <v>1</v>
      </c>
      <c r="K14" s="5">
        <v>232</v>
      </c>
      <c r="L14" s="5">
        <v>16</v>
      </c>
      <c r="M14" s="5">
        <v>7</v>
      </c>
      <c r="N14" s="5"/>
      <c r="O14" s="5"/>
      <c r="P14" s="5"/>
      <c r="Q14" s="5">
        <v>1</v>
      </c>
      <c r="R14" s="5">
        <v>3</v>
      </c>
      <c r="S14" s="5">
        <v>1</v>
      </c>
      <c r="T14" s="5">
        <v>6</v>
      </c>
      <c r="U14" s="5">
        <v>4</v>
      </c>
      <c r="V14" s="5"/>
      <c r="W14" s="5">
        <v>3</v>
      </c>
      <c r="X14" s="5">
        <v>276</v>
      </c>
      <c r="Y14" s="5">
        <v>2</v>
      </c>
      <c r="Z14" s="5"/>
      <c r="AA14" s="5">
        <v>2</v>
      </c>
      <c r="AB14" s="5">
        <v>13</v>
      </c>
      <c r="AC14" s="5">
        <v>9</v>
      </c>
      <c r="AD14" s="6">
        <f t="shared" si="0"/>
        <v>594</v>
      </c>
      <c r="AE14" s="5">
        <v>13</v>
      </c>
    </row>
    <row r="15" spans="1:31" x14ac:dyDescent="0.3">
      <c r="A15" s="17" t="s">
        <v>42</v>
      </c>
      <c r="B15" s="4">
        <v>1325</v>
      </c>
      <c r="C15" s="4">
        <v>8</v>
      </c>
      <c r="D15" s="5">
        <v>232</v>
      </c>
      <c r="E15" s="5">
        <v>360</v>
      </c>
      <c r="F15" s="18">
        <v>752</v>
      </c>
      <c r="G15" s="5">
        <v>1200</v>
      </c>
      <c r="H15" s="5">
        <v>8</v>
      </c>
      <c r="I15" s="5">
        <v>9</v>
      </c>
      <c r="J15" s="5">
        <v>1</v>
      </c>
      <c r="K15" s="5">
        <v>265</v>
      </c>
      <c r="L15" s="5">
        <v>27</v>
      </c>
      <c r="M15" s="5">
        <v>6</v>
      </c>
      <c r="N15" s="5">
        <v>1</v>
      </c>
      <c r="O15" s="5"/>
      <c r="P15" s="5">
        <v>1</v>
      </c>
      <c r="Q15" s="5">
        <v>3</v>
      </c>
      <c r="R15" s="5">
        <v>2</v>
      </c>
      <c r="S15" s="5">
        <v>1</v>
      </c>
      <c r="T15" s="5">
        <v>28</v>
      </c>
      <c r="U15" s="5">
        <v>1</v>
      </c>
      <c r="V15" s="5">
        <v>1</v>
      </c>
      <c r="W15" s="5">
        <v>10</v>
      </c>
      <c r="X15" s="5">
        <v>325</v>
      </c>
      <c r="Y15" s="5">
        <v>3</v>
      </c>
      <c r="Z15" s="5">
        <v>2</v>
      </c>
      <c r="AA15" s="5">
        <v>1</v>
      </c>
      <c r="AB15" s="5">
        <v>24</v>
      </c>
      <c r="AC15" s="5">
        <v>5</v>
      </c>
      <c r="AD15" s="6">
        <f t="shared" si="0"/>
        <v>724</v>
      </c>
      <c r="AE15" s="5">
        <v>28</v>
      </c>
    </row>
    <row r="16" spans="1:31" x14ac:dyDescent="0.3">
      <c r="A16" s="17" t="s">
        <v>43</v>
      </c>
      <c r="B16" s="4">
        <v>1551</v>
      </c>
      <c r="C16" s="4">
        <v>9</v>
      </c>
      <c r="D16" s="5">
        <v>280</v>
      </c>
      <c r="E16" s="5">
        <v>692</v>
      </c>
      <c r="F16" s="18">
        <v>858</v>
      </c>
      <c r="G16" s="5">
        <v>1450</v>
      </c>
      <c r="H16" s="5">
        <v>18</v>
      </c>
      <c r="I16" s="5">
        <v>6</v>
      </c>
      <c r="J16" s="5"/>
      <c r="K16" s="5">
        <v>367</v>
      </c>
      <c r="L16" s="5">
        <v>25</v>
      </c>
      <c r="M16" s="5">
        <v>5</v>
      </c>
      <c r="N16" s="5"/>
      <c r="O16" s="5">
        <v>1</v>
      </c>
      <c r="P16" s="5">
        <v>4</v>
      </c>
      <c r="Q16" s="5">
        <v>1</v>
      </c>
      <c r="R16" s="5">
        <v>1</v>
      </c>
      <c r="S16" s="5">
        <v>2</v>
      </c>
      <c r="T16" s="5">
        <v>32</v>
      </c>
      <c r="U16" s="5"/>
      <c r="V16" s="5">
        <v>4</v>
      </c>
      <c r="W16" s="5">
        <v>5</v>
      </c>
      <c r="X16" s="5">
        <v>318</v>
      </c>
      <c r="Y16" s="5">
        <v>2</v>
      </c>
      <c r="Z16" s="5"/>
      <c r="AA16" s="5">
        <v>8</v>
      </c>
      <c r="AB16" s="5">
        <v>12</v>
      </c>
      <c r="AC16" s="5">
        <v>8</v>
      </c>
      <c r="AD16" s="6">
        <f t="shared" si="0"/>
        <v>819</v>
      </c>
      <c r="AE16" s="5">
        <v>39</v>
      </c>
    </row>
    <row r="17" spans="1:31" x14ac:dyDescent="0.3">
      <c r="A17" s="17" t="s">
        <v>44</v>
      </c>
      <c r="B17" s="4">
        <v>285</v>
      </c>
      <c r="C17" s="4">
        <v>10</v>
      </c>
      <c r="D17" s="5">
        <v>63</v>
      </c>
      <c r="E17" s="5">
        <v>152</v>
      </c>
      <c r="F17" s="18">
        <v>187</v>
      </c>
      <c r="G17" s="5">
        <v>300</v>
      </c>
      <c r="H17" s="5"/>
      <c r="I17" s="5">
        <v>2</v>
      </c>
      <c r="J17" s="5"/>
      <c r="K17" s="5">
        <v>76</v>
      </c>
      <c r="L17" s="5">
        <v>1</v>
      </c>
      <c r="M17" s="5">
        <v>1</v>
      </c>
      <c r="N17" s="5"/>
      <c r="O17" s="5"/>
      <c r="P17" s="5"/>
      <c r="Q17" s="5">
        <v>1</v>
      </c>
      <c r="R17" s="5"/>
      <c r="S17" s="5"/>
      <c r="T17" s="5">
        <v>6</v>
      </c>
      <c r="U17" s="5"/>
      <c r="V17" s="5">
        <v>2</v>
      </c>
      <c r="W17" s="5">
        <v>2</v>
      </c>
      <c r="X17" s="5">
        <v>77</v>
      </c>
      <c r="Y17" s="5">
        <v>1</v>
      </c>
      <c r="Z17" s="5"/>
      <c r="AA17" s="5">
        <v>2</v>
      </c>
      <c r="AB17" s="5">
        <v>1</v>
      </c>
      <c r="AC17" s="5">
        <v>4</v>
      </c>
      <c r="AD17" s="6">
        <f t="shared" si="0"/>
        <v>176</v>
      </c>
      <c r="AE17" s="5">
        <v>11</v>
      </c>
    </row>
    <row r="18" spans="1:31" x14ac:dyDescent="0.3">
      <c r="A18" s="17" t="s">
        <v>45</v>
      </c>
      <c r="B18" s="4">
        <v>1264</v>
      </c>
      <c r="C18" s="4">
        <v>3</v>
      </c>
      <c r="D18" s="5">
        <v>238</v>
      </c>
      <c r="E18" s="5">
        <v>634</v>
      </c>
      <c r="F18" s="18">
        <v>829</v>
      </c>
      <c r="G18" s="5">
        <v>1150</v>
      </c>
      <c r="H18" s="5">
        <v>8</v>
      </c>
      <c r="I18" s="5">
        <v>1</v>
      </c>
      <c r="J18" s="5"/>
      <c r="K18" s="5">
        <v>387</v>
      </c>
      <c r="L18" s="5">
        <v>15</v>
      </c>
      <c r="M18" s="5">
        <v>5</v>
      </c>
      <c r="N18" s="5">
        <v>2</v>
      </c>
      <c r="O18" s="5"/>
      <c r="P18" s="5">
        <v>1</v>
      </c>
      <c r="Q18" s="5">
        <v>1</v>
      </c>
      <c r="R18" s="5">
        <v>3</v>
      </c>
      <c r="S18" s="5"/>
      <c r="T18" s="5">
        <v>42</v>
      </c>
      <c r="U18" s="5">
        <v>1</v>
      </c>
      <c r="V18" s="5">
        <v>3</v>
      </c>
      <c r="W18" s="5"/>
      <c r="X18" s="5">
        <v>326</v>
      </c>
      <c r="Y18" s="5">
        <v>1</v>
      </c>
      <c r="Z18" s="5"/>
      <c r="AA18" s="5"/>
      <c r="AB18" s="5">
        <v>12</v>
      </c>
      <c r="AC18" s="5">
        <v>1</v>
      </c>
      <c r="AD18" s="6">
        <f t="shared" si="0"/>
        <v>809</v>
      </c>
      <c r="AE18" s="5">
        <v>13</v>
      </c>
    </row>
    <row r="19" spans="1:31" x14ac:dyDescent="0.3">
      <c r="A19" s="17" t="s">
        <v>46</v>
      </c>
      <c r="B19" s="4">
        <v>662</v>
      </c>
      <c r="C19" s="4">
        <v>6</v>
      </c>
      <c r="D19" s="5">
        <v>120</v>
      </c>
      <c r="E19" s="5">
        <v>338</v>
      </c>
      <c r="F19" s="18">
        <v>442</v>
      </c>
      <c r="G19" s="5">
        <v>600</v>
      </c>
      <c r="H19" s="5">
        <v>1</v>
      </c>
      <c r="I19" s="5"/>
      <c r="J19" s="5"/>
      <c r="K19" s="5">
        <v>205</v>
      </c>
      <c r="L19" s="5">
        <v>13</v>
      </c>
      <c r="M19" s="5">
        <v>3</v>
      </c>
      <c r="N19" s="5"/>
      <c r="O19" s="5"/>
      <c r="P19" s="5"/>
      <c r="Q19" s="5"/>
      <c r="R19" s="5"/>
      <c r="S19" s="5"/>
      <c r="T19" s="5">
        <v>6</v>
      </c>
      <c r="U19" s="5">
        <v>3</v>
      </c>
      <c r="V19" s="5"/>
      <c r="W19" s="5"/>
      <c r="X19" s="5">
        <v>156</v>
      </c>
      <c r="Y19" s="5"/>
      <c r="Z19" s="5"/>
      <c r="AA19" s="5"/>
      <c r="AB19" s="5"/>
      <c r="AC19" s="5">
        <v>38</v>
      </c>
      <c r="AD19" s="6">
        <f t="shared" si="0"/>
        <v>425</v>
      </c>
      <c r="AE19" s="5">
        <v>17</v>
      </c>
    </row>
    <row r="20" spans="1:31" x14ac:dyDescent="0.3">
      <c r="A20" s="17" t="s">
        <v>47</v>
      </c>
      <c r="B20" s="4">
        <v>1332</v>
      </c>
      <c r="C20" s="4">
        <v>6</v>
      </c>
      <c r="D20" s="5">
        <v>317</v>
      </c>
      <c r="E20" s="5">
        <v>760</v>
      </c>
      <c r="F20" s="18">
        <v>882</v>
      </c>
      <c r="G20" s="5">
        <v>1200</v>
      </c>
      <c r="H20" s="5">
        <v>16</v>
      </c>
      <c r="I20" s="5">
        <v>8</v>
      </c>
      <c r="J20" s="5">
        <v>2</v>
      </c>
      <c r="K20" s="5">
        <v>229</v>
      </c>
      <c r="L20" s="5">
        <v>30</v>
      </c>
      <c r="M20" s="5">
        <v>6</v>
      </c>
      <c r="N20" s="5"/>
      <c r="O20" s="5">
        <v>1</v>
      </c>
      <c r="P20" s="5">
        <v>3</v>
      </c>
      <c r="Q20" s="5">
        <v>9</v>
      </c>
      <c r="R20" s="5">
        <v>7</v>
      </c>
      <c r="S20" s="5">
        <v>4</v>
      </c>
      <c r="T20" s="5">
        <v>11</v>
      </c>
      <c r="U20" s="5">
        <v>1</v>
      </c>
      <c r="V20" s="5"/>
      <c r="W20" s="5">
        <v>6</v>
      </c>
      <c r="X20" s="5">
        <v>499</v>
      </c>
      <c r="Y20" s="5">
        <v>10</v>
      </c>
      <c r="Z20" s="5"/>
      <c r="AA20" s="5">
        <v>1</v>
      </c>
      <c r="AB20" s="5">
        <v>12</v>
      </c>
      <c r="AC20" s="5"/>
      <c r="AD20" s="6">
        <f t="shared" si="0"/>
        <v>855</v>
      </c>
      <c r="AE20" s="5">
        <v>22</v>
      </c>
    </row>
    <row r="21" spans="1:31" x14ac:dyDescent="0.3">
      <c r="A21" s="17" t="s">
        <v>48</v>
      </c>
      <c r="B21" s="4">
        <v>1157</v>
      </c>
      <c r="C21" s="4">
        <v>3</v>
      </c>
      <c r="D21" s="5">
        <v>220</v>
      </c>
      <c r="E21" s="5">
        <v>629</v>
      </c>
      <c r="F21" s="18">
        <v>818</v>
      </c>
      <c r="G21" s="5">
        <v>1050</v>
      </c>
      <c r="H21" s="5">
        <v>8</v>
      </c>
      <c r="I21" s="5">
        <v>2</v>
      </c>
      <c r="J21" s="5"/>
      <c r="K21" s="5">
        <v>292</v>
      </c>
      <c r="L21" s="5">
        <v>18</v>
      </c>
      <c r="M21" s="5">
        <v>6</v>
      </c>
      <c r="N21" s="5">
        <v>2</v>
      </c>
      <c r="O21" s="5">
        <v>1</v>
      </c>
      <c r="P21" s="5"/>
      <c r="Q21" s="5">
        <v>1</v>
      </c>
      <c r="R21" s="5">
        <v>1</v>
      </c>
      <c r="S21" s="5"/>
      <c r="T21" s="5">
        <v>14</v>
      </c>
      <c r="U21" s="5"/>
      <c r="V21" s="5"/>
      <c r="W21" s="5">
        <v>7</v>
      </c>
      <c r="X21" s="5">
        <v>441</v>
      </c>
      <c r="Y21" s="5">
        <v>1</v>
      </c>
      <c r="Z21" s="5">
        <v>1</v>
      </c>
      <c r="AA21" s="5"/>
      <c r="AB21" s="5">
        <v>3</v>
      </c>
      <c r="AC21" s="5">
        <v>2</v>
      </c>
      <c r="AD21" s="6">
        <f t="shared" si="0"/>
        <v>800</v>
      </c>
      <c r="AE21" s="5">
        <v>18</v>
      </c>
    </row>
    <row r="22" spans="1:31" x14ac:dyDescent="0.3">
      <c r="A22" s="17" t="s">
        <v>49</v>
      </c>
      <c r="B22" s="4">
        <v>1556</v>
      </c>
      <c r="C22" s="4">
        <v>8</v>
      </c>
      <c r="D22" s="5">
        <v>279</v>
      </c>
      <c r="E22" s="5">
        <v>654</v>
      </c>
      <c r="F22" s="18">
        <v>833</v>
      </c>
      <c r="G22" s="5">
        <v>1400</v>
      </c>
      <c r="H22" s="5">
        <v>4</v>
      </c>
      <c r="I22" s="5">
        <v>5</v>
      </c>
      <c r="J22" s="5">
        <v>1</v>
      </c>
      <c r="K22" s="5">
        <v>307</v>
      </c>
      <c r="L22" s="5">
        <v>26</v>
      </c>
      <c r="M22" s="5">
        <v>3</v>
      </c>
      <c r="N22" s="5">
        <v>3</v>
      </c>
      <c r="O22" s="5"/>
      <c r="P22" s="5">
        <v>3</v>
      </c>
      <c r="Q22" s="5">
        <v>4</v>
      </c>
      <c r="R22" s="5">
        <v>7</v>
      </c>
      <c r="S22" s="5">
        <v>1</v>
      </c>
      <c r="T22" s="5">
        <v>22</v>
      </c>
      <c r="U22" s="5"/>
      <c r="V22" s="5"/>
      <c r="W22" s="5">
        <v>4</v>
      </c>
      <c r="X22" s="5">
        <v>396</v>
      </c>
      <c r="Y22" s="5">
        <v>9</v>
      </c>
      <c r="Z22" s="5"/>
      <c r="AA22" s="5">
        <v>4</v>
      </c>
      <c r="AB22" s="5">
        <v>16</v>
      </c>
      <c r="AC22" s="5">
        <v>4</v>
      </c>
      <c r="AD22" s="6">
        <f t="shared" si="0"/>
        <v>819</v>
      </c>
      <c r="AE22" s="5">
        <v>13</v>
      </c>
    </row>
    <row r="23" spans="1:31" x14ac:dyDescent="0.3">
      <c r="A23" s="17" t="s">
        <v>50</v>
      </c>
      <c r="B23" s="4">
        <v>1251</v>
      </c>
      <c r="C23" s="4">
        <v>3</v>
      </c>
      <c r="D23" s="5">
        <v>250</v>
      </c>
      <c r="E23" s="5">
        <v>574</v>
      </c>
      <c r="F23" s="18">
        <v>715</v>
      </c>
      <c r="G23" s="5">
        <v>1100</v>
      </c>
      <c r="H23" s="5">
        <v>9</v>
      </c>
      <c r="I23" s="5">
        <v>4</v>
      </c>
      <c r="J23" s="5">
        <v>1</v>
      </c>
      <c r="K23" s="5">
        <v>179</v>
      </c>
      <c r="L23" s="5">
        <v>24</v>
      </c>
      <c r="M23" s="5">
        <v>4</v>
      </c>
      <c r="N23" s="5">
        <v>1</v>
      </c>
      <c r="O23" s="5"/>
      <c r="P23" s="5">
        <v>2</v>
      </c>
      <c r="Q23" s="5"/>
      <c r="R23" s="5">
        <v>3</v>
      </c>
      <c r="S23" s="5"/>
      <c r="T23" s="5">
        <v>14</v>
      </c>
      <c r="U23" s="5"/>
      <c r="V23" s="5"/>
      <c r="W23" s="5">
        <v>2</v>
      </c>
      <c r="X23" s="5">
        <v>412</v>
      </c>
      <c r="Y23" s="5">
        <v>14</v>
      </c>
      <c r="Z23" s="5"/>
      <c r="AA23" s="5"/>
      <c r="AB23" s="5">
        <v>14</v>
      </c>
      <c r="AC23" s="5"/>
      <c r="AD23" s="6">
        <f t="shared" si="0"/>
        <v>683</v>
      </c>
      <c r="AE23" s="5">
        <v>32</v>
      </c>
    </row>
    <row r="24" spans="1:31" x14ac:dyDescent="0.3">
      <c r="A24" s="17" t="s">
        <v>51</v>
      </c>
      <c r="B24" s="4">
        <v>1320</v>
      </c>
      <c r="C24" s="4">
        <v>3</v>
      </c>
      <c r="D24" s="5">
        <v>215</v>
      </c>
      <c r="E24" s="5">
        <v>605</v>
      </c>
      <c r="F24" s="18">
        <v>890</v>
      </c>
      <c r="G24" s="5">
        <v>1200</v>
      </c>
      <c r="H24" s="5">
        <v>8</v>
      </c>
      <c r="I24" s="5">
        <v>4</v>
      </c>
      <c r="J24" s="5">
        <v>2</v>
      </c>
      <c r="K24" s="5">
        <v>360</v>
      </c>
      <c r="L24" s="5">
        <v>21</v>
      </c>
      <c r="M24" s="5">
        <v>2</v>
      </c>
      <c r="N24" s="5"/>
      <c r="O24" s="5">
        <v>1</v>
      </c>
      <c r="P24" s="5">
        <v>1</v>
      </c>
      <c r="Q24" s="5">
        <v>2</v>
      </c>
      <c r="R24" s="5">
        <v>4</v>
      </c>
      <c r="S24" s="5">
        <v>1</v>
      </c>
      <c r="T24" s="5">
        <v>11</v>
      </c>
      <c r="U24" s="5"/>
      <c r="V24" s="5">
        <v>2</v>
      </c>
      <c r="W24" s="5">
        <v>3</v>
      </c>
      <c r="X24" s="5">
        <v>426</v>
      </c>
      <c r="Y24" s="5">
        <v>9</v>
      </c>
      <c r="Z24" s="5"/>
      <c r="AA24" s="5">
        <v>2</v>
      </c>
      <c r="AB24" s="5">
        <v>8</v>
      </c>
      <c r="AC24" s="5"/>
      <c r="AD24" s="6">
        <f t="shared" si="0"/>
        <v>867</v>
      </c>
      <c r="AE24" s="5">
        <v>23</v>
      </c>
    </row>
    <row r="25" spans="1:31" x14ac:dyDescent="0.3">
      <c r="A25" s="17" t="s">
        <v>52</v>
      </c>
      <c r="B25" s="4">
        <v>1185</v>
      </c>
      <c r="C25" s="4">
        <v>7</v>
      </c>
      <c r="D25" s="5">
        <v>252</v>
      </c>
      <c r="E25" s="5">
        <v>480</v>
      </c>
      <c r="F25" s="18">
        <v>625</v>
      </c>
      <c r="G25" s="5">
        <v>1000</v>
      </c>
      <c r="H25" s="5">
        <v>7</v>
      </c>
      <c r="I25" s="5">
        <v>5</v>
      </c>
      <c r="J25" s="5"/>
      <c r="K25" s="5">
        <v>241</v>
      </c>
      <c r="L25" s="5">
        <v>25</v>
      </c>
      <c r="M25" s="5">
        <v>2</v>
      </c>
      <c r="N25" s="5"/>
      <c r="O25" s="5"/>
      <c r="P25" s="5">
        <v>1</v>
      </c>
      <c r="Q25" s="5">
        <v>1</v>
      </c>
      <c r="R25" s="5">
        <v>1</v>
      </c>
      <c r="S25" s="5"/>
      <c r="T25" s="5">
        <v>15</v>
      </c>
      <c r="U25" s="5"/>
      <c r="V25" s="5"/>
      <c r="W25" s="5">
        <v>2</v>
      </c>
      <c r="X25" s="5">
        <v>305</v>
      </c>
      <c r="Y25" s="5"/>
      <c r="Z25" s="5">
        <v>1</v>
      </c>
      <c r="AA25" s="5"/>
      <c r="AB25" s="5">
        <v>1</v>
      </c>
      <c r="AC25" s="5"/>
      <c r="AD25" s="6">
        <f t="shared" si="0"/>
        <v>607</v>
      </c>
      <c r="AE25" s="5">
        <v>15</v>
      </c>
    </row>
    <row r="26" spans="1:31" x14ac:dyDescent="0.3">
      <c r="A26" s="17" t="s">
        <v>53</v>
      </c>
      <c r="B26" s="4">
        <v>725</v>
      </c>
      <c r="C26" s="4">
        <v>4</v>
      </c>
      <c r="D26" s="5">
        <v>140</v>
      </c>
      <c r="E26" s="5">
        <v>350</v>
      </c>
      <c r="F26" s="18">
        <v>499</v>
      </c>
      <c r="G26" s="5">
        <v>650</v>
      </c>
      <c r="H26" s="5">
        <v>17</v>
      </c>
      <c r="I26" s="5"/>
      <c r="J26" s="5"/>
      <c r="K26" s="5">
        <v>164</v>
      </c>
      <c r="L26" s="5">
        <v>8</v>
      </c>
      <c r="M26" s="5">
        <v>5</v>
      </c>
      <c r="N26" s="5">
        <v>8</v>
      </c>
      <c r="O26" s="5"/>
      <c r="P26" s="5">
        <v>2</v>
      </c>
      <c r="Q26" s="5"/>
      <c r="R26" s="5"/>
      <c r="S26" s="5"/>
      <c r="T26" s="5">
        <v>26</v>
      </c>
      <c r="U26" s="5"/>
      <c r="V26" s="5">
        <v>1</v>
      </c>
      <c r="W26" s="5">
        <v>4</v>
      </c>
      <c r="X26" s="5">
        <v>254</v>
      </c>
      <c r="Y26" s="5">
        <v>1</v>
      </c>
      <c r="Z26" s="5"/>
      <c r="AA26" s="5"/>
      <c r="AB26" s="5">
        <v>3</v>
      </c>
      <c r="AC26" s="5"/>
      <c r="AD26" s="6">
        <f t="shared" si="0"/>
        <v>493</v>
      </c>
      <c r="AE26" s="5">
        <v>6</v>
      </c>
    </row>
    <row r="27" spans="1:31" x14ac:dyDescent="0.3">
      <c r="A27" s="17" t="s">
        <v>54</v>
      </c>
      <c r="B27" s="4">
        <v>1135</v>
      </c>
      <c r="C27" s="4">
        <v>8</v>
      </c>
      <c r="D27" s="5">
        <v>205</v>
      </c>
      <c r="E27" s="5">
        <v>530</v>
      </c>
      <c r="F27" s="18">
        <v>694</v>
      </c>
      <c r="G27" s="5">
        <v>1000</v>
      </c>
      <c r="H27" s="5">
        <v>17</v>
      </c>
      <c r="I27" s="5">
        <v>4</v>
      </c>
      <c r="J27" s="5">
        <v>1</v>
      </c>
      <c r="K27" s="5">
        <v>187</v>
      </c>
      <c r="L27" s="5">
        <v>15</v>
      </c>
      <c r="M27" s="5">
        <v>2</v>
      </c>
      <c r="N27" s="5"/>
      <c r="O27" s="5">
        <v>1</v>
      </c>
      <c r="P27" s="5"/>
      <c r="Q27" s="5">
        <v>1</v>
      </c>
      <c r="R27" s="5">
        <v>4</v>
      </c>
      <c r="S27" s="5"/>
      <c r="T27" s="5">
        <v>10</v>
      </c>
      <c r="U27" s="5"/>
      <c r="V27" s="5"/>
      <c r="W27" s="5">
        <v>4</v>
      </c>
      <c r="X27" s="5">
        <v>403</v>
      </c>
      <c r="Y27" s="5">
        <v>9</v>
      </c>
      <c r="Z27" s="5"/>
      <c r="AA27" s="5"/>
      <c r="AB27" s="5">
        <v>2</v>
      </c>
      <c r="AC27" s="5">
        <v>1</v>
      </c>
      <c r="AD27" s="6">
        <f t="shared" si="0"/>
        <v>661</v>
      </c>
      <c r="AE27" s="5">
        <v>29</v>
      </c>
    </row>
    <row r="28" spans="1:31" x14ac:dyDescent="0.3">
      <c r="A28" s="17" t="s">
        <v>55</v>
      </c>
      <c r="B28" s="4">
        <v>1569</v>
      </c>
      <c r="C28" s="4">
        <v>4</v>
      </c>
      <c r="D28" s="5">
        <v>307</v>
      </c>
      <c r="E28" s="5">
        <v>700</v>
      </c>
      <c r="F28" s="18">
        <v>934</v>
      </c>
      <c r="G28" s="5">
        <v>1400</v>
      </c>
      <c r="H28" s="5">
        <v>30</v>
      </c>
      <c r="I28" s="5">
        <v>5</v>
      </c>
      <c r="J28" s="5">
        <v>2</v>
      </c>
      <c r="K28" s="5">
        <v>270</v>
      </c>
      <c r="L28" s="5">
        <v>17</v>
      </c>
      <c r="M28" s="5">
        <v>8</v>
      </c>
      <c r="N28" s="5">
        <v>27</v>
      </c>
      <c r="O28" s="5">
        <v>1</v>
      </c>
      <c r="P28" s="5">
        <v>3</v>
      </c>
      <c r="Q28" s="5">
        <v>1</v>
      </c>
      <c r="R28" s="5">
        <v>5</v>
      </c>
      <c r="S28" s="5">
        <v>2</v>
      </c>
      <c r="T28" s="5">
        <v>15</v>
      </c>
      <c r="U28" s="5">
        <v>1</v>
      </c>
      <c r="V28" s="5">
        <v>1</v>
      </c>
      <c r="W28" s="5">
        <v>3</v>
      </c>
      <c r="X28" s="5">
        <v>483</v>
      </c>
      <c r="Y28" s="5">
        <v>5</v>
      </c>
      <c r="Z28" s="5"/>
      <c r="AA28" s="5">
        <v>2</v>
      </c>
      <c r="AB28" s="5">
        <v>15</v>
      </c>
      <c r="AC28" s="5">
        <v>1</v>
      </c>
      <c r="AD28" s="6">
        <f t="shared" si="0"/>
        <v>897</v>
      </c>
      <c r="AE28" s="5">
        <v>36</v>
      </c>
    </row>
    <row r="29" spans="1:31" x14ac:dyDescent="0.3">
      <c r="A29" s="17" t="s">
        <v>56</v>
      </c>
      <c r="B29" s="4">
        <v>497</v>
      </c>
      <c r="C29" s="4">
        <v>6</v>
      </c>
      <c r="D29" s="5">
        <v>87</v>
      </c>
      <c r="E29" s="5">
        <v>233</v>
      </c>
      <c r="F29" s="18">
        <v>296</v>
      </c>
      <c r="G29" s="5">
        <v>450</v>
      </c>
      <c r="H29" s="5">
        <v>4</v>
      </c>
      <c r="I29" s="5">
        <v>5</v>
      </c>
      <c r="J29" s="5">
        <v>2</v>
      </c>
      <c r="K29" s="5">
        <v>76</v>
      </c>
      <c r="L29" s="5">
        <v>9</v>
      </c>
      <c r="M29" s="5">
        <v>2</v>
      </c>
      <c r="N29" s="5"/>
      <c r="O29" s="5"/>
      <c r="P29" s="5">
        <v>4</v>
      </c>
      <c r="Q29" s="5"/>
      <c r="R29" s="5">
        <v>1</v>
      </c>
      <c r="S29" s="5"/>
      <c r="T29" s="5">
        <v>2</v>
      </c>
      <c r="U29" s="5">
        <v>1</v>
      </c>
      <c r="V29" s="5"/>
      <c r="W29" s="5">
        <v>2</v>
      </c>
      <c r="X29" s="5">
        <v>176</v>
      </c>
      <c r="Y29" s="5">
        <v>4</v>
      </c>
      <c r="Z29" s="5"/>
      <c r="AA29" s="5"/>
      <c r="AB29" s="5"/>
      <c r="AC29" s="5"/>
      <c r="AD29" s="6">
        <f t="shared" si="0"/>
        <v>288</v>
      </c>
      <c r="AE29" s="5">
        <v>8</v>
      </c>
    </row>
    <row r="30" spans="1:31" x14ac:dyDescent="0.3">
      <c r="A30" s="17" t="s">
        <v>57</v>
      </c>
      <c r="B30" s="4">
        <v>1522</v>
      </c>
      <c r="C30" s="4">
        <v>9</v>
      </c>
      <c r="D30" s="5">
        <v>250</v>
      </c>
      <c r="E30" s="5">
        <v>673</v>
      </c>
      <c r="F30" s="18">
        <v>849</v>
      </c>
      <c r="G30" s="5">
        <v>1400</v>
      </c>
      <c r="H30" s="5">
        <v>9</v>
      </c>
      <c r="I30" s="5">
        <v>9</v>
      </c>
      <c r="J30" s="5">
        <v>1</v>
      </c>
      <c r="K30" s="5">
        <v>256</v>
      </c>
      <c r="L30" s="5"/>
      <c r="M30" s="5">
        <v>10</v>
      </c>
      <c r="N30" s="5">
        <v>3</v>
      </c>
      <c r="O30" s="5">
        <v>1</v>
      </c>
      <c r="P30" s="5">
        <v>1</v>
      </c>
      <c r="Q30" s="5">
        <v>6</v>
      </c>
      <c r="R30" s="5">
        <v>6</v>
      </c>
      <c r="S30" s="5">
        <v>1</v>
      </c>
      <c r="T30" s="5">
        <v>18</v>
      </c>
      <c r="U30" s="5">
        <v>2</v>
      </c>
      <c r="V30" s="5"/>
      <c r="W30" s="5">
        <v>7</v>
      </c>
      <c r="X30" s="5">
        <v>421</v>
      </c>
      <c r="Y30" s="5">
        <v>2</v>
      </c>
      <c r="Z30" s="5"/>
      <c r="AA30" s="5"/>
      <c r="AB30" s="5">
        <v>34</v>
      </c>
      <c r="AC30" s="5">
        <v>1</v>
      </c>
      <c r="AD30" s="6">
        <f t="shared" si="0"/>
        <v>788</v>
      </c>
      <c r="AE30" s="5">
        <v>23</v>
      </c>
    </row>
    <row r="31" spans="1:31" x14ac:dyDescent="0.3">
      <c r="A31" s="17" t="s">
        <v>58</v>
      </c>
      <c r="B31" s="4">
        <v>838</v>
      </c>
      <c r="C31" s="4">
        <v>5</v>
      </c>
      <c r="D31" s="5">
        <v>136</v>
      </c>
      <c r="E31" s="5">
        <v>370</v>
      </c>
      <c r="F31" s="18">
        <v>484</v>
      </c>
      <c r="G31" s="5">
        <v>750</v>
      </c>
      <c r="H31" s="5">
        <v>17</v>
      </c>
      <c r="I31" s="5">
        <v>1</v>
      </c>
      <c r="J31" s="5">
        <v>2</v>
      </c>
      <c r="K31" s="5">
        <v>166</v>
      </c>
      <c r="L31" s="5">
        <v>12</v>
      </c>
      <c r="M31" s="5">
        <v>12</v>
      </c>
      <c r="N31" s="5">
        <v>1</v>
      </c>
      <c r="O31" s="5">
        <v>2</v>
      </c>
      <c r="P31" s="5">
        <v>2</v>
      </c>
      <c r="Q31" s="5"/>
      <c r="R31" s="5"/>
      <c r="S31" s="5"/>
      <c r="T31" s="5">
        <v>20</v>
      </c>
      <c r="U31" s="5"/>
      <c r="V31" s="5"/>
      <c r="W31" s="5">
        <v>3</v>
      </c>
      <c r="X31" s="5">
        <v>220</v>
      </c>
      <c r="Y31" s="5"/>
      <c r="Z31" s="5"/>
      <c r="AA31" s="5"/>
      <c r="AB31" s="5">
        <v>9</v>
      </c>
      <c r="AC31" s="5">
        <v>1</v>
      </c>
      <c r="AD31" s="6">
        <f t="shared" si="0"/>
        <v>468</v>
      </c>
      <c r="AE31" s="5">
        <v>15</v>
      </c>
    </row>
    <row r="32" spans="1:31" x14ac:dyDescent="0.3">
      <c r="A32" s="17" t="s">
        <v>59</v>
      </c>
      <c r="B32" s="4">
        <v>950</v>
      </c>
      <c r="C32" s="4">
        <v>7</v>
      </c>
      <c r="D32" s="5">
        <v>184</v>
      </c>
      <c r="E32" s="5">
        <v>467</v>
      </c>
      <c r="F32" s="18">
        <v>647</v>
      </c>
      <c r="G32" s="5">
        <v>850</v>
      </c>
      <c r="H32" s="5">
        <v>3</v>
      </c>
      <c r="I32" s="5">
        <v>6</v>
      </c>
      <c r="J32" s="5">
        <v>3</v>
      </c>
      <c r="K32" s="5">
        <v>224</v>
      </c>
      <c r="L32" s="5">
        <v>14</v>
      </c>
      <c r="M32" s="5">
        <v>8</v>
      </c>
      <c r="N32" s="5">
        <v>2</v>
      </c>
      <c r="O32" s="5">
        <v>3</v>
      </c>
      <c r="P32" s="5">
        <v>1</v>
      </c>
      <c r="Q32" s="5"/>
      <c r="R32" s="5">
        <v>7</v>
      </c>
      <c r="S32" s="5"/>
      <c r="T32" s="5">
        <v>13</v>
      </c>
      <c r="U32" s="5"/>
      <c r="V32" s="5"/>
      <c r="W32" s="5">
        <v>6</v>
      </c>
      <c r="X32" s="5">
        <v>330</v>
      </c>
      <c r="Y32" s="5">
        <v>3</v>
      </c>
      <c r="Z32" s="5"/>
      <c r="AA32" s="5"/>
      <c r="AB32" s="5">
        <v>8</v>
      </c>
      <c r="AC32" s="5"/>
      <c r="AD32" s="6">
        <f t="shared" si="0"/>
        <v>631</v>
      </c>
      <c r="AE32" s="5">
        <v>16</v>
      </c>
    </row>
    <row r="33" spans="1:31" x14ac:dyDescent="0.3">
      <c r="A33" s="17" t="s">
        <v>60</v>
      </c>
      <c r="B33" s="4">
        <v>1287</v>
      </c>
      <c r="C33" s="4">
        <v>6</v>
      </c>
      <c r="D33" s="4">
        <v>180</v>
      </c>
      <c r="E33" s="5">
        <v>604</v>
      </c>
      <c r="F33" s="18">
        <v>832</v>
      </c>
      <c r="G33" s="5">
        <v>1150</v>
      </c>
      <c r="H33" s="5">
        <v>6</v>
      </c>
      <c r="I33" s="5">
        <v>51</v>
      </c>
      <c r="J33" s="5">
        <v>3</v>
      </c>
      <c r="K33" s="5">
        <v>302</v>
      </c>
      <c r="L33" s="5">
        <v>37</v>
      </c>
      <c r="M33" s="5">
        <v>4</v>
      </c>
      <c r="N33" s="5"/>
      <c r="O33" s="25"/>
      <c r="P33" s="5">
        <v>8</v>
      </c>
      <c r="Q33" s="5">
        <v>1</v>
      </c>
      <c r="R33" s="5">
        <v>3</v>
      </c>
      <c r="S33" s="5">
        <v>2</v>
      </c>
      <c r="T33" s="5">
        <v>13</v>
      </c>
      <c r="U33" s="5"/>
      <c r="V33" s="5">
        <v>3</v>
      </c>
      <c r="W33" s="5">
        <v>4</v>
      </c>
      <c r="X33" s="5">
        <v>347</v>
      </c>
      <c r="Y33" s="5">
        <v>9</v>
      </c>
      <c r="Z33" s="5"/>
      <c r="AA33" s="5"/>
      <c r="AB33" s="5">
        <v>9</v>
      </c>
      <c r="AC33" s="5"/>
      <c r="AD33" s="6">
        <f t="shared" si="0"/>
        <v>802</v>
      </c>
      <c r="AE33" s="5">
        <v>26</v>
      </c>
    </row>
    <row r="34" spans="1:31" x14ac:dyDescent="0.3">
      <c r="A34" s="17" t="s">
        <v>61</v>
      </c>
      <c r="B34" s="4">
        <v>672</v>
      </c>
      <c r="C34" s="4">
        <v>4</v>
      </c>
      <c r="D34" s="4">
        <v>143</v>
      </c>
      <c r="E34" s="5">
        <v>389</v>
      </c>
      <c r="F34" s="18">
        <v>463</v>
      </c>
      <c r="G34" s="5">
        <v>600</v>
      </c>
      <c r="H34" s="5">
        <v>5</v>
      </c>
      <c r="I34" s="5">
        <v>3</v>
      </c>
      <c r="J34" s="5">
        <v>1</v>
      </c>
      <c r="K34" s="5">
        <v>173</v>
      </c>
      <c r="L34" s="5">
        <v>16</v>
      </c>
      <c r="M34" s="5">
        <v>2</v>
      </c>
      <c r="N34" s="5"/>
      <c r="O34" s="5">
        <v>1</v>
      </c>
      <c r="P34" s="5">
        <v>2</v>
      </c>
      <c r="Q34" s="5"/>
      <c r="R34" s="5"/>
      <c r="S34" s="5"/>
      <c r="T34" s="5">
        <v>13</v>
      </c>
      <c r="U34" s="5"/>
      <c r="V34" s="5"/>
      <c r="W34" s="5"/>
      <c r="X34" s="5">
        <v>229</v>
      </c>
      <c r="Y34" s="5"/>
      <c r="Z34" s="5"/>
      <c r="AA34" s="5">
        <v>3</v>
      </c>
      <c r="AB34" s="5">
        <v>2</v>
      </c>
      <c r="AC34" s="5">
        <v>1</v>
      </c>
      <c r="AD34" s="6">
        <f t="shared" si="0"/>
        <v>451</v>
      </c>
      <c r="AE34" s="5">
        <v>12</v>
      </c>
    </row>
    <row r="35" spans="1:31" x14ac:dyDescent="0.3">
      <c r="A35" s="17" t="s">
        <v>62</v>
      </c>
      <c r="B35" s="4">
        <v>1025</v>
      </c>
      <c r="C35" s="4">
        <v>4</v>
      </c>
      <c r="D35" s="5">
        <v>164</v>
      </c>
      <c r="E35" s="5">
        <v>410</v>
      </c>
      <c r="F35" s="18">
        <v>510</v>
      </c>
      <c r="G35" s="5">
        <v>900</v>
      </c>
      <c r="H35" s="5">
        <v>4</v>
      </c>
      <c r="I35" s="5"/>
      <c r="J35" s="5"/>
      <c r="K35" s="5">
        <v>264</v>
      </c>
      <c r="L35" s="5">
        <v>9</v>
      </c>
      <c r="M35" s="5">
        <v>2</v>
      </c>
      <c r="N35" s="5"/>
      <c r="O35" s="5">
        <v>2</v>
      </c>
      <c r="P35" s="5"/>
      <c r="Q35" s="5">
        <v>1</v>
      </c>
      <c r="R35" s="5"/>
      <c r="S35" s="5"/>
      <c r="T35" s="5">
        <v>6</v>
      </c>
      <c r="U35" s="5"/>
      <c r="V35" s="5">
        <v>1</v>
      </c>
      <c r="W35" s="5">
        <v>2</v>
      </c>
      <c r="X35" s="5">
        <v>182</v>
      </c>
      <c r="Y35" s="5">
        <v>1</v>
      </c>
      <c r="Z35" s="5"/>
      <c r="AA35" s="5">
        <v>1</v>
      </c>
      <c r="AB35" s="5">
        <v>1</v>
      </c>
      <c r="AC35" s="5">
        <v>1</v>
      </c>
      <c r="AD35" s="6">
        <f t="shared" si="0"/>
        <v>477</v>
      </c>
      <c r="AE35" s="5">
        <v>30</v>
      </c>
    </row>
    <row r="36" spans="1:31" x14ac:dyDescent="0.3">
      <c r="A36" s="17" t="s">
        <v>63</v>
      </c>
      <c r="B36" s="4">
        <v>930</v>
      </c>
      <c r="C36" s="4">
        <v>2</v>
      </c>
      <c r="D36" s="5">
        <v>148</v>
      </c>
      <c r="E36" s="5">
        <v>396</v>
      </c>
      <c r="F36" s="18">
        <v>594</v>
      </c>
      <c r="G36" s="5">
        <v>850</v>
      </c>
      <c r="H36" s="5">
        <v>2</v>
      </c>
      <c r="I36" s="5">
        <v>1</v>
      </c>
      <c r="J36" s="5"/>
      <c r="K36" s="5">
        <v>234</v>
      </c>
      <c r="L36" s="5">
        <v>9</v>
      </c>
      <c r="M36" s="5">
        <v>1</v>
      </c>
      <c r="N36" s="5">
        <v>4</v>
      </c>
      <c r="O36" s="5"/>
      <c r="P36" s="5"/>
      <c r="Q36" s="5">
        <v>1</v>
      </c>
      <c r="R36" s="5">
        <v>4</v>
      </c>
      <c r="S36" s="5"/>
      <c r="T36" s="5">
        <v>16</v>
      </c>
      <c r="U36" s="5"/>
      <c r="V36" s="5">
        <v>5</v>
      </c>
      <c r="W36" s="5">
        <v>3</v>
      </c>
      <c r="X36" s="5">
        <v>269</v>
      </c>
      <c r="Y36" s="5"/>
      <c r="Z36" s="5"/>
      <c r="AA36" s="5"/>
      <c r="AB36" s="5">
        <v>11</v>
      </c>
      <c r="AC36" s="5"/>
      <c r="AD36" s="6">
        <f t="shared" si="0"/>
        <v>560</v>
      </c>
      <c r="AE36" s="5">
        <v>18</v>
      </c>
    </row>
    <row r="37" spans="1:31" x14ac:dyDescent="0.3">
      <c r="A37" s="17" t="s">
        <v>64</v>
      </c>
      <c r="B37" s="4">
        <v>1249</v>
      </c>
      <c r="C37" s="4">
        <v>1</v>
      </c>
      <c r="D37" s="5">
        <v>238</v>
      </c>
      <c r="E37" s="5">
        <v>620</v>
      </c>
      <c r="F37" s="18">
        <v>800</v>
      </c>
      <c r="G37" s="5">
        <v>1150</v>
      </c>
      <c r="H37" s="5">
        <v>14</v>
      </c>
      <c r="I37" s="5">
        <v>8</v>
      </c>
      <c r="J37" s="5">
        <v>2</v>
      </c>
      <c r="K37" s="5">
        <v>272</v>
      </c>
      <c r="L37" s="5">
        <v>9</v>
      </c>
      <c r="M37" s="5">
        <v>12</v>
      </c>
      <c r="N37" s="5"/>
      <c r="O37" s="5">
        <v>1</v>
      </c>
      <c r="P37" s="5">
        <v>1</v>
      </c>
      <c r="Q37" s="5">
        <v>2</v>
      </c>
      <c r="R37" s="5">
        <v>2</v>
      </c>
      <c r="S37" s="5">
        <v>1</v>
      </c>
      <c r="T37" s="5">
        <v>19</v>
      </c>
      <c r="U37" s="5"/>
      <c r="V37" s="5">
        <v>4</v>
      </c>
      <c r="W37" s="5">
        <v>3</v>
      </c>
      <c r="X37" s="5">
        <v>419</v>
      </c>
      <c r="Y37" s="5">
        <v>6</v>
      </c>
      <c r="Z37" s="5">
        <v>1</v>
      </c>
      <c r="AA37" s="5"/>
      <c r="AB37" s="5">
        <v>8</v>
      </c>
      <c r="AC37" s="5"/>
      <c r="AD37" s="6">
        <f t="shared" si="0"/>
        <v>784</v>
      </c>
      <c r="AE37" s="5">
        <v>16</v>
      </c>
    </row>
    <row r="38" spans="1:31" x14ac:dyDescent="0.3">
      <c r="A38" s="17" t="s">
        <v>65</v>
      </c>
      <c r="B38" s="4">
        <v>208</v>
      </c>
      <c r="C38" s="4">
        <v>2</v>
      </c>
      <c r="D38" s="5">
        <v>52</v>
      </c>
      <c r="E38" s="5">
        <v>140</v>
      </c>
      <c r="F38" s="18">
        <v>159</v>
      </c>
      <c r="G38" s="5">
        <v>250</v>
      </c>
      <c r="H38" s="5">
        <v>7</v>
      </c>
      <c r="I38" s="5">
        <v>8</v>
      </c>
      <c r="J38" s="5">
        <v>1</v>
      </c>
      <c r="K38" s="5">
        <v>52</v>
      </c>
      <c r="L38" s="5">
        <v>5</v>
      </c>
      <c r="M38" s="5"/>
      <c r="N38" s="5">
        <v>1</v>
      </c>
      <c r="O38" s="5"/>
      <c r="P38" s="5"/>
      <c r="Q38" s="5">
        <v>1</v>
      </c>
      <c r="R38" s="5"/>
      <c r="S38" s="5"/>
      <c r="T38" s="5">
        <v>1</v>
      </c>
      <c r="U38" s="5"/>
      <c r="V38" s="5"/>
      <c r="W38" s="5">
        <v>1</v>
      </c>
      <c r="X38" s="5">
        <v>77</v>
      </c>
      <c r="Y38" s="5"/>
      <c r="Z38" s="5"/>
      <c r="AA38" s="5"/>
      <c r="AB38" s="5">
        <v>1</v>
      </c>
      <c r="AC38" s="5"/>
      <c r="AD38" s="6">
        <f t="shared" si="0"/>
        <v>155</v>
      </c>
      <c r="AE38" s="5"/>
    </row>
    <row r="39" spans="1:31" x14ac:dyDescent="0.3">
      <c r="A39" s="17" t="s">
        <v>66</v>
      </c>
      <c r="B39" s="4">
        <v>1158</v>
      </c>
      <c r="C39" s="4">
        <v>5</v>
      </c>
      <c r="D39" s="5">
        <v>219</v>
      </c>
      <c r="E39" s="5">
        <v>559</v>
      </c>
      <c r="F39" s="18">
        <v>706</v>
      </c>
      <c r="G39" s="5">
        <v>1050</v>
      </c>
      <c r="H39" s="5">
        <v>9</v>
      </c>
      <c r="I39" s="5">
        <v>4</v>
      </c>
      <c r="J39" s="5"/>
      <c r="K39" s="5">
        <v>196</v>
      </c>
      <c r="L39" s="5">
        <v>21</v>
      </c>
      <c r="M39" s="5">
        <v>5</v>
      </c>
      <c r="N39" s="5">
        <v>1</v>
      </c>
      <c r="O39" s="5"/>
      <c r="P39" s="5">
        <v>26</v>
      </c>
      <c r="Q39" s="5">
        <v>9</v>
      </c>
      <c r="R39" s="5">
        <v>2</v>
      </c>
      <c r="S39" s="5">
        <v>1</v>
      </c>
      <c r="T39" s="5">
        <v>7</v>
      </c>
      <c r="U39" s="5"/>
      <c r="V39" s="5"/>
      <c r="W39" s="5">
        <v>3</v>
      </c>
      <c r="X39" s="5">
        <v>391</v>
      </c>
      <c r="Y39" s="5">
        <v>8</v>
      </c>
      <c r="Z39" s="5"/>
      <c r="AA39" s="5">
        <v>1</v>
      </c>
      <c r="AB39" s="5">
        <v>6</v>
      </c>
      <c r="AC39" s="5">
        <v>1</v>
      </c>
      <c r="AD39" s="6">
        <f t="shared" si="0"/>
        <v>691</v>
      </c>
      <c r="AE39" s="5">
        <v>13</v>
      </c>
    </row>
    <row r="40" spans="1:31" x14ac:dyDescent="0.3">
      <c r="A40" s="17" t="s">
        <v>67</v>
      </c>
      <c r="B40" s="4">
        <v>616</v>
      </c>
      <c r="C40" s="4">
        <v>5</v>
      </c>
      <c r="D40" s="5">
        <v>107</v>
      </c>
      <c r="E40" s="5">
        <v>311</v>
      </c>
      <c r="F40" s="18">
        <v>366</v>
      </c>
      <c r="G40" s="5">
        <v>550</v>
      </c>
      <c r="H40" s="5">
        <v>7</v>
      </c>
      <c r="I40" s="5">
        <v>10</v>
      </c>
      <c r="J40" s="5">
        <v>1</v>
      </c>
      <c r="K40" s="5">
        <v>121</v>
      </c>
      <c r="L40" s="5">
        <v>13</v>
      </c>
      <c r="M40" s="5">
        <v>2</v>
      </c>
      <c r="N40" s="5">
        <v>1</v>
      </c>
      <c r="O40" s="5">
        <v>1</v>
      </c>
      <c r="P40" s="5"/>
      <c r="Q40" s="5">
        <v>3</v>
      </c>
      <c r="R40" s="5">
        <v>2</v>
      </c>
      <c r="S40" s="5"/>
      <c r="T40" s="5">
        <v>6</v>
      </c>
      <c r="U40" s="5"/>
      <c r="V40" s="5"/>
      <c r="W40" s="5">
        <v>1</v>
      </c>
      <c r="X40" s="5">
        <v>180</v>
      </c>
      <c r="Y40" s="5">
        <v>1</v>
      </c>
      <c r="Z40" s="5">
        <v>1</v>
      </c>
      <c r="AA40" s="5">
        <v>1</v>
      </c>
      <c r="AB40" s="5">
        <v>4</v>
      </c>
      <c r="AC40" s="5">
        <v>2</v>
      </c>
      <c r="AD40" s="6">
        <f t="shared" si="0"/>
        <v>357</v>
      </c>
      <c r="AE40" s="5">
        <v>8</v>
      </c>
    </row>
    <row r="41" spans="1:31" x14ac:dyDescent="0.3">
      <c r="A41" s="17" t="s">
        <v>68</v>
      </c>
      <c r="B41" s="4">
        <v>571</v>
      </c>
      <c r="C41" s="4">
        <v>6</v>
      </c>
      <c r="D41" s="5">
        <v>123</v>
      </c>
      <c r="E41" s="5">
        <v>281</v>
      </c>
      <c r="F41" s="18">
        <v>357</v>
      </c>
      <c r="G41" s="5">
        <v>500</v>
      </c>
      <c r="H41" s="5">
        <v>4</v>
      </c>
      <c r="I41" s="5">
        <v>10</v>
      </c>
      <c r="J41" s="5"/>
      <c r="K41" s="5">
        <v>85</v>
      </c>
      <c r="L41" s="5">
        <v>14</v>
      </c>
      <c r="M41" s="5">
        <v>2</v>
      </c>
      <c r="N41" s="5">
        <v>1</v>
      </c>
      <c r="O41" s="5"/>
      <c r="P41" s="5"/>
      <c r="Q41" s="5">
        <v>10</v>
      </c>
      <c r="R41" s="5">
        <v>1</v>
      </c>
      <c r="S41" s="5">
        <v>1</v>
      </c>
      <c r="T41" s="5">
        <v>6</v>
      </c>
      <c r="U41" s="5"/>
      <c r="V41" s="5">
        <v>1</v>
      </c>
      <c r="W41" s="5"/>
      <c r="X41" s="5">
        <v>209</v>
      </c>
      <c r="Y41" s="5">
        <v>1</v>
      </c>
      <c r="Z41" s="5"/>
      <c r="AA41" s="5"/>
      <c r="AB41" s="5">
        <v>8</v>
      </c>
      <c r="AC41" s="5"/>
      <c r="AD41" s="6">
        <f t="shared" si="0"/>
        <v>353</v>
      </c>
      <c r="AE41" s="5">
        <v>4</v>
      </c>
    </row>
    <row r="42" spans="1:31" x14ac:dyDescent="0.3">
      <c r="A42" s="17" t="s">
        <v>69</v>
      </c>
      <c r="B42" s="4">
        <v>1324</v>
      </c>
      <c r="C42" s="4">
        <v>10</v>
      </c>
      <c r="D42" s="5">
        <v>280</v>
      </c>
      <c r="E42" s="5">
        <v>690</v>
      </c>
      <c r="F42" s="18">
        <v>840</v>
      </c>
      <c r="G42" s="5">
        <v>1200</v>
      </c>
      <c r="H42" s="5">
        <v>20</v>
      </c>
      <c r="I42" s="5">
        <v>5</v>
      </c>
      <c r="J42" s="5"/>
      <c r="K42" s="5">
        <v>317</v>
      </c>
      <c r="L42" s="5">
        <v>26</v>
      </c>
      <c r="M42" s="5">
        <v>5</v>
      </c>
      <c r="N42" s="5">
        <v>1</v>
      </c>
      <c r="O42" s="5"/>
      <c r="P42" s="5"/>
      <c r="Q42" s="5"/>
      <c r="R42" s="5"/>
      <c r="S42" s="5"/>
      <c r="T42" s="5">
        <v>21</v>
      </c>
      <c r="U42" s="5"/>
      <c r="V42" s="5">
        <v>5</v>
      </c>
      <c r="W42" s="5">
        <v>2</v>
      </c>
      <c r="X42" s="5">
        <v>383</v>
      </c>
      <c r="Y42" s="5">
        <v>3</v>
      </c>
      <c r="Z42" s="5"/>
      <c r="AA42" s="5">
        <v>3</v>
      </c>
      <c r="AB42" s="5">
        <v>26</v>
      </c>
      <c r="AC42" s="5"/>
      <c r="AD42" s="6">
        <f t="shared" si="0"/>
        <v>817</v>
      </c>
      <c r="AE42" s="5">
        <v>20</v>
      </c>
    </row>
    <row r="43" spans="1:31" x14ac:dyDescent="0.3">
      <c r="A43" s="17" t="s">
        <v>70</v>
      </c>
      <c r="B43" s="4">
        <v>1252</v>
      </c>
      <c r="C43" s="4">
        <v>9</v>
      </c>
      <c r="D43" s="5">
        <v>269</v>
      </c>
      <c r="E43" s="5">
        <v>624</v>
      </c>
      <c r="F43" s="18">
        <v>760</v>
      </c>
      <c r="G43" s="5">
        <v>1150</v>
      </c>
      <c r="H43" s="5">
        <v>5</v>
      </c>
      <c r="I43" s="5">
        <v>3</v>
      </c>
      <c r="J43" s="5"/>
      <c r="K43" s="5">
        <v>279</v>
      </c>
      <c r="L43" s="5">
        <v>21</v>
      </c>
      <c r="M43" s="5">
        <v>13</v>
      </c>
      <c r="N43" s="5">
        <v>8</v>
      </c>
      <c r="O43" s="5">
        <v>1</v>
      </c>
      <c r="P43" s="5">
        <v>7</v>
      </c>
      <c r="Q43" s="5"/>
      <c r="R43" s="5">
        <v>1</v>
      </c>
      <c r="S43" s="5">
        <v>1</v>
      </c>
      <c r="T43" s="5">
        <v>15</v>
      </c>
      <c r="U43" s="5">
        <v>1</v>
      </c>
      <c r="V43" s="5">
        <v>1</v>
      </c>
      <c r="W43" s="5">
        <v>5</v>
      </c>
      <c r="X43" s="5">
        <v>342</v>
      </c>
      <c r="Y43" s="5">
        <v>18</v>
      </c>
      <c r="Z43" s="5">
        <v>1</v>
      </c>
      <c r="AA43" s="5">
        <v>2</v>
      </c>
      <c r="AB43" s="5">
        <v>14</v>
      </c>
      <c r="AC43" s="5">
        <v>3</v>
      </c>
      <c r="AD43" s="6">
        <f t="shared" si="0"/>
        <v>741</v>
      </c>
      <c r="AE43" s="5">
        <v>14</v>
      </c>
    </row>
    <row r="44" spans="1:31" x14ac:dyDescent="0.3">
      <c r="A44" s="17" t="s">
        <v>71</v>
      </c>
      <c r="B44" s="4">
        <v>1477</v>
      </c>
      <c r="C44" s="4">
        <v>6</v>
      </c>
      <c r="D44" s="5">
        <v>271</v>
      </c>
      <c r="E44" s="5">
        <v>657</v>
      </c>
      <c r="F44" s="18">
        <v>927</v>
      </c>
      <c r="G44" s="5">
        <v>1350</v>
      </c>
      <c r="H44" s="5">
        <v>23</v>
      </c>
      <c r="I44" s="5">
        <v>5</v>
      </c>
      <c r="J44" s="5">
        <v>1</v>
      </c>
      <c r="K44" s="5">
        <v>347</v>
      </c>
      <c r="L44" s="5">
        <v>19</v>
      </c>
      <c r="M44" s="5">
        <v>4</v>
      </c>
      <c r="N44" s="5"/>
      <c r="O44" s="5">
        <v>1</v>
      </c>
      <c r="P44" s="5">
        <v>3</v>
      </c>
      <c r="Q44" s="5">
        <v>1</v>
      </c>
      <c r="R44" s="5"/>
      <c r="S44" s="5"/>
      <c r="T44" s="5">
        <v>26</v>
      </c>
      <c r="U44" s="5"/>
      <c r="V44" s="5"/>
      <c r="W44" s="5">
        <v>7</v>
      </c>
      <c r="X44" s="5">
        <v>442</v>
      </c>
      <c r="Y44" s="5">
        <v>3</v>
      </c>
      <c r="Z44" s="5"/>
      <c r="AA44" s="5">
        <v>3</v>
      </c>
      <c r="AB44" s="5">
        <v>14</v>
      </c>
      <c r="AC44" s="5">
        <v>1</v>
      </c>
      <c r="AD44" s="6">
        <f t="shared" si="0"/>
        <v>900</v>
      </c>
      <c r="AE44" s="5">
        <v>27</v>
      </c>
    </row>
    <row r="45" spans="1:31" x14ac:dyDescent="0.3">
      <c r="A45" s="17" t="s">
        <v>72</v>
      </c>
      <c r="B45" s="4">
        <v>1487</v>
      </c>
      <c r="C45" s="4">
        <v>6</v>
      </c>
      <c r="D45" s="5">
        <v>326</v>
      </c>
      <c r="E45" s="5">
        <v>693</v>
      </c>
      <c r="F45" s="18">
        <v>914</v>
      </c>
      <c r="G45" s="5">
        <v>1400</v>
      </c>
      <c r="H45" s="5">
        <v>12</v>
      </c>
      <c r="I45" s="5">
        <v>1</v>
      </c>
      <c r="J45" s="5"/>
      <c r="K45" s="5">
        <v>420</v>
      </c>
      <c r="L45" s="5">
        <v>19</v>
      </c>
      <c r="M45" s="5">
        <v>5</v>
      </c>
      <c r="N45" s="5"/>
      <c r="O45" s="5">
        <v>1</v>
      </c>
      <c r="P45" s="5">
        <v>2</v>
      </c>
      <c r="Q45" s="5">
        <v>1</v>
      </c>
      <c r="R45" s="5">
        <v>4</v>
      </c>
      <c r="S45" s="5"/>
      <c r="T45" s="5">
        <v>21</v>
      </c>
      <c r="U45" s="5">
        <v>1</v>
      </c>
      <c r="V45" s="5"/>
      <c r="W45" s="5">
        <v>9</v>
      </c>
      <c r="X45" s="5">
        <v>378</v>
      </c>
      <c r="Y45" s="5">
        <v>6</v>
      </c>
      <c r="Z45" s="5"/>
      <c r="AA45" s="5">
        <v>2</v>
      </c>
      <c r="AB45" s="5">
        <v>15</v>
      </c>
      <c r="AC45" s="5"/>
      <c r="AD45" s="6">
        <f t="shared" si="0"/>
        <v>897</v>
      </c>
      <c r="AE45" s="5">
        <v>17</v>
      </c>
    </row>
    <row r="46" spans="1:31" x14ac:dyDescent="0.3">
      <c r="A46" s="17" t="s">
        <v>73</v>
      </c>
      <c r="B46" s="4">
        <v>806</v>
      </c>
      <c r="C46" s="4">
        <v>1</v>
      </c>
      <c r="D46" s="5">
        <v>170</v>
      </c>
      <c r="E46" s="5">
        <v>410</v>
      </c>
      <c r="F46" s="18">
        <v>526</v>
      </c>
      <c r="G46" s="5">
        <v>750</v>
      </c>
      <c r="H46" s="5">
        <v>19</v>
      </c>
      <c r="I46" s="5">
        <v>1</v>
      </c>
      <c r="J46" s="5">
        <v>1</v>
      </c>
      <c r="K46" s="5">
        <v>158</v>
      </c>
      <c r="L46" s="5">
        <v>11</v>
      </c>
      <c r="M46" s="5"/>
      <c r="N46" s="5">
        <v>4</v>
      </c>
      <c r="O46" s="5"/>
      <c r="P46" s="5"/>
      <c r="Q46" s="5">
        <v>1</v>
      </c>
      <c r="R46" s="5">
        <v>1</v>
      </c>
      <c r="S46" s="5"/>
      <c r="T46" s="5">
        <v>3</v>
      </c>
      <c r="U46" s="5"/>
      <c r="V46" s="5"/>
      <c r="W46" s="5">
        <v>2</v>
      </c>
      <c r="X46" s="5">
        <v>282</v>
      </c>
      <c r="Y46" s="5">
        <v>4</v>
      </c>
      <c r="Z46" s="5"/>
      <c r="AA46" s="5">
        <v>13</v>
      </c>
      <c r="AB46" s="5">
        <v>19</v>
      </c>
      <c r="AC46" s="5"/>
      <c r="AD46" s="6">
        <f t="shared" si="0"/>
        <v>519</v>
      </c>
      <c r="AE46" s="5">
        <v>7</v>
      </c>
    </row>
    <row r="47" spans="1:31" x14ac:dyDescent="0.3">
      <c r="A47" s="17" t="s">
        <v>74</v>
      </c>
      <c r="B47" s="4">
        <v>1542</v>
      </c>
      <c r="C47" s="4">
        <v>3</v>
      </c>
      <c r="D47" s="5">
        <v>365</v>
      </c>
      <c r="E47" s="5">
        <v>840</v>
      </c>
      <c r="F47" s="18">
        <v>1036</v>
      </c>
      <c r="G47" s="5">
        <v>1400</v>
      </c>
      <c r="H47" s="5">
        <v>8</v>
      </c>
      <c r="I47" s="5">
        <v>6</v>
      </c>
      <c r="J47" s="5">
        <v>3</v>
      </c>
      <c r="K47" s="5">
        <v>350</v>
      </c>
      <c r="L47" s="5">
        <v>27</v>
      </c>
      <c r="M47" s="5">
        <v>5</v>
      </c>
      <c r="N47" s="5">
        <v>2</v>
      </c>
      <c r="O47" s="5">
        <v>2</v>
      </c>
      <c r="P47" s="5">
        <v>3</v>
      </c>
      <c r="Q47" s="5">
        <v>1</v>
      </c>
      <c r="R47" s="5">
        <v>7</v>
      </c>
      <c r="S47" s="5"/>
      <c r="T47" s="5">
        <v>17</v>
      </c>
      <c r="U47" s="5"/>
      <c r="V47" s="5">
        <v>3</v>
      </c>
      <c r="W47" s="5">
        <v>8</v>
      </c>
      <c r="X47" s="5">
        <v>565</v>
      </c>
      <c r="Y47" s="5"/>
      <c r="Z47" s="5"/>
      <c r="AA47" s="5">
        <v>3</v>
      </c>
      <c r="AB47" s="5">
        <v>7</v>
      </c>
      <c r="AC47" s="5">
        <v>4</v>
      </c>
      <c r="AD47" s="6">
        <f t="shared" si="0"/>
        <v>1021</v>
      </c>
      <c r="AE47" s="5">
        <v>15</v>
      </c>
    </row>
    <row r="48" spans="1:31" x14ac:dyDescent="0.3">
      <c r="A48" s="17" t="s">
        <v>75</v>
      </c>
      <c r="B48" s="4">
        <v>1116</v>
      </c>
      <c r="C48" s="4">
        <v>4</v>
      </c>
      <c r="D48" s="5">
        <v>219</v>
      </c>
      <c r="E48" s="5">
        <v>542</v>
      </c>
      <c r="F48" s="18">
        <v>680</v>
      </c>
      <c r="G48" s="5">
        <v>1050</v>
      </c>
      <c r="H48" s="5">
        <v>4</v>
      </c>
      <c r="I48" s="5">
        <v>9</v>
      </c>
      <c r="J48" s="5">
        <v>3</v>
      </c>
      <c r="K48" s="5">
        <v>220</v>
      </c>
      <c r="L48" s="5">
        <v>27</v>
      </c>
      <c r="M48" s="5">
        <v>7</v>
      </c>
      <c r="N48" s="5"/>
      <c r="O48" s="5"/>
      <c r="P48" s="5">
        <v>1</v>
      </c>
      <c r="Q48" s="5">
        <v>1</v>
      </c>
      <c r="R48" s="5">
        <v>5</v>
      </c>
      <c r="S48" s="5">
        <v>3</v>
      </c>
      <c r="T48" s="5">
        <v>10</v>
      </c>
      <c r="U48" s="5"/>
      <c r="V48" s="5">
        <v>22</v>
      </c>
      <c r="W48" s="5">
        <v>8</v>
      </c>
      <c r="X48" s="5">
        <v>324</v>
      </c>
      <c r="Y48" s="5">
        <v>1</v>
      </c>
      <c r="Z48" s="5">
        <v>4</v>
      </c>
      <c r="AA48" s="5">
        <v>2</v>
      </c>
      <c r="AB48" s="5">
        <v>4</v>
      </c>
      <c r="AC48" s="5">
        <v>2</v>
      </c>
      <c r="AD48" s="6">
        <f t="shared" si="0"/>
        <v>657</v>
      </c>
      <c r="AE48" s="5">
        <v>23</v>
      </c>
    </row>
    <row r="49" spans="1:31" x14ac:dyDescent="0.3">
      <c r="A49" s="17" t="s">
        <v>76</v>
      </c>
      <c r="B49" s="4">
        <v>1183</v>
      </c>
      <c r="C49" s="4">
        <v>8</v>
      </c>
      <c r="D49" s="5">
        <v>198</v>
      </c>
      <c r="E49" s="5">
        <v>477</v>
      </c>
      <c r="F49" s="18">
        <v>692</v>
      </c>
      <c r="G49" s="5">
        <v>1050</v>
      </c>
      <c r="H49" s="5">
        <v>3</v>
      </c>
      <c r="I49" s="5">
        <v>19</v>
      </c>
      <c r="J49" s="5">
        <v>2</v>
      </c>
      <c r="K49" s="5">
        <v>241</v>
      </c>
      <c r="L49" s="5">
        <v>27</v>
      </c>
      <c r="M49" s="5">
        <v>3</v>
      </c>
      <c r="N49" s="5">
        <v>1</v>
      </c>
      <c r="O49" s="5"/>
      <c r="P49" s="5">
        <v>1</v>
      </c>
      <c r="Q49" s="5">
        <v>2</v>
      </c>
      <c r="R49" s="5">
        <v>3</v>
      </c>
      <c r="S49" s="5"/>
      <c r="T49" s="5">
        <v>10</v>
      </c>
      <c r="U49" s="5"/>
      <c r="V49" s="5"/>
      <c r="W49" s="5">
        <v>2</v>
      </c>
      <c r="X49" s="5">
        <v>338</v>
      </c>
      <c r="Y49" s="5">
        <v>1</v>
      </c>
      <c r="Z49" s="5"/>
      <c r="AA49" s="5">
        <v>3</v>
      </c>
      <c r="AB49" s="5">
        <v>21</v>
      </c>
      <c r="AC49" s="5"/>
      <c r="AD49" s="6">
        <f t="shared" si="0"/>
        <v>677</v>
      </c>
      <c r="AE49" s="5">
        <v>8</v>
      </c>
    </row>
    <row r="50" spans="1:31" x14ac:dyDescent="0.3">
      <c r="A50" s="17" t="s">
        <v>77</v>
      </c>
      <c r="B50" s="4">
        <v>868</v>
      </c>
      <c r="C50" s="4">
        <v>5</v>
      </c>
      <c r="D50" s="5">
        <v>143</v>
      </c>
      <c r="E50" s="5">
        <v>415</v>
      </c>
      <c r="F50" s="18">
        <v>542</v>
      </c>
      <c r="G50" s="5">
        <v>800</v>
      </c>
      <c r="H50" s="5">
        <v>7</v>
      </c>
      <c r="I50" s="5">
        <v>42</v>
      </c>
      <c r="J50" s="5">
        <v>1</v>
      </c>
      <c r="K50" s="5">
        <v>80</v>
      </c>
      <c r="L50" s="5">
        <v>18</v>
      </c>
      <c r="M50" s="5">
        <v>4</v>
      </c>
      <c r="N50" s="5">
        <v>1</v>
      </c>
      <c r="O50" s="5"/>
      <c r="P50" s="5">
        <v>1</v>
      </c>
      <c r="Q50" s="5">
        <v>4</v>
      </c>
      <c r="R50" s="5">
        <v>2</v>
      </c>
      <c r="S50" s="5"/>
      <c r="T50" s="5">
        <v>2</v>
      </c>
      <c r="U50" s="5">
        <v>2</v>
      </c>
      <c r="V50" s="5">
        <v>1</v>
      </c>
      <c r="W50" s="5">
        <v>2</v>
      </c>
      <c r="X50" s="5">
        <v>338</v>
      </c>
      <c r="Y50" s="5">
        <v>4</v>
      </c>
      <c r="Z50" s="5">
        <v>1</v>
      </c>
      <c r="AA50" s="5">
        <v>1</v>
      </c>
      <c r="AB50" s="5">
        <v>18</v>
      </c>
      <c r="AC50" s="5">
        <v>4</v>
      </c>
      <c r="AD50" s="6">
        <f t="shared" si="0"/>
        <v>533</v>
      </c>
      <c r="AE50" s="5">
        <v>8</v>
      </c>
    </row>
    <row r="51" spans="1:31" x14ac:dyDescent="0.3">
      <c r="A51" s="17" t="s">
        <v>78</v>
      </c>
      <c r="B51" s="4">
        <v>1133</v>
      </c>
      <c r="C51" s="4">
        <v>7</v>
      </c>
      <c r="D51" s="5">
        <v>240</v>
      </c>
      <c r="E51" s="5">
        <v>548</v>
      </c>
      <c r="F51" s="18">
        <v>680</v>
      </c>
      <c r="G51" s="5">
        <v>1050</v>
      </c>
      <c r="H51" s="5">
        <v>5</v>
      </c>
      <c r="I51" s="5">
        <v>12</v>
      </c>
      <c r="J51" s="5">
        <v>1</v>
      </c>
      <c r="K51" s="5">
        <v>174</v>
      </c>
      <c r="L51" s="5">
        <v>29</v>
      </c>
      <c r="M51" s="5">
        <v>7</v>
      </c>
      <c r="N51" s="5">
        <v>5</v>
      </c>
      <c r="O51" s="5">
        <v>1</v>
      </c>
      <c r="P51" s="5">
        <v>1</v>
      </c>
      <c r="Q51" s="5">
        <v>3</v>
      </c>
      <c r="R51" s="5">
        <v>5</v>
      </c>
      <c r="S51" s="5"/>
      <c r="T51" s="5">
        <v>25</v>
      </c>
      <c r="U51" s="5"/>
      <c r="V51" s="5">
        <v>1</v>
      </c>
      <c r="W51" s="5">
        <v>3</v>
      </c>
      <c r="X51" s="5">
        <v>354</v>
      </c>
      <c r="Y51" s="5">
        <v>4</v>
      </c>
      <c r="Z51" s="5"/>
      <c r="AA51" s="5">
        <v>1</v>
      </c>
      <c r="AB51" s="5">
        <v>28</v>
      </c>
      <c r="AC51" s="5"/>
      <c r="AD51" s="6">
        <f t="shared" si="0"/>
        <v>659</v>
      </c>
      <c r="AE51" s="5">
        <v>19</v>
      </c>
    </row>
    <row r="52" spans="1:31" x14ac:dyDescent="0.3">
      <c r="A52" s="17" t="s">
        <v>79</v>
      </c>
      <c r="B52" s="4">
        <v>677</v>
      </c>
      <c r="C52" s="4">
        <v>4</v>
      </c>
      <c r="D52" s="5">
        <v>132</v>
      </c>
      <c r="E52" s="5">
        <v>315</v>
      </c>
      <c r="F52" s="18">
        <v>393</v>
      </c>
      <c r="G52" s="5">
        <v>600</v>
      </c>
      <c r="H52" s="5">
        <v>5</v>
      </c>
      <c r="I52" s="5">
        <v>5</v>
      </c>
      <c r="J52" s="5">
        <v>1</v>
      </c>
      <c r="K52" s="5">
        <v>96</v>
      </c>
      <c r="L52" s="5">
        <v>12</v>
      </c>
      <c r="M52" s="5">
        <v>2</v>
      </c>
      <c r="N52" s="5"/>
      <c r="O52" s="5"/>
      <c r="P52" s="5">
        <v>3</v>
      </c>
      <c r="Q52" s="5"/>
      <c r="R52" s="5">
        <v>2</v>
      </c>
      <c r="S52" s="5"/>
      <c r="T52" s="5">
        <v>11</v>
      </c>
      <c r="U52" s="5"/>
      <c r="V52" s="5">
        <v>5</v>
      </c>
      <c r="W52" s="5">
        <v>15</v>
      </c>
      <c r="X52" s="5">
        <v>209</v>
      </c>
      <c r="Y52" s="5">
        <v>7</v>
      </c>
      <c r="Z52" s="5">
        <v>2</v>
      </c>
      <c r="AA52" s="5">
        <v>1</v>
      </c>
      <c r="AB52" s="5">
        <v>7</v>
      </c>
      <c r="AC52" s="5">
        <v>1</v>
      </c>
      <c r="AD52" s="6">
        <f t="shared" si="0"/>
        <v>384</v>
      </c>
      <c r="AE52" s="5">
        <v>7</v>
      </c>
    </row>
    <row r="53" spans="1:31" x14ac:dyDescent="0.3">
      <c r="A53" s="17" t="s">
        <v>80</v>
      </c>
      <c r="B53" s="4">
        <v>883</v>
      </c>
      <c r="C53" s="4">
        <v>6</v>
      </c>
      <c r="D53" s="5">
        <v>188</v>
      </c>
      <c r="E53" s="5">
        <v>433</v>
      </c>
      <c r="F53" s="18">
        <v>512</v>
      </c>
      <c r="G53" s="5">
        <v>750</v>
      </c>
      <c r="H53" s="5">
        <v>11</v>
      </c>
      <c r="I53" s="5">
        <v>6</v>
      </c>
      <c r="J53" s="5">
        <v>3</v>
      </c>
      <c r="K53" s="5">
        <v>171</v>
      </c>
      <c r="L53" s="5">
        <v>3</v>
      </c>
      <c r="M53" s="5"/>
      <c r="N53" s="5">
        <v>1</v>
      </c>
      <c r="O53" s="5"/>
      <c r="P53" s="5"/>
      <c r="Q53" s="5">
        <v>1</v>
      </c>
      <c r="R53" s="5">
        <v>2</v>
      </c>
      <c r="S53" s="5">
        <v>1</v>
      </c>
      <c r="T53" s="5">
        <v>14</v>
      </c>
      <c r="U53" s="5"/>
      <c r="V53" s="5"/>
      <c r="W53" s="5">
        <v>3</v>
      </c>
      <c r="X53" s="5">
        <v>264</v>
      </c>
      <c r="Y53" s="5">
        <v>1</v>
      </c>
      <c r="Z53" s="5"/>
      <c r="AA53" s="5"/>
      <c r="AB53" s="5">
        <v>10</v>
      </c>
      <c r="AC53" s="5"/>
      <c r="AD53" s="6">
        <f t="shared" si="0"/>
        <v>491</v>
      </c>
      <c r="AE53" s="5">
        <v>21</v>
      </c>
    </row>
    <row r="54" spans="1:31" x14ac:dyDescent="0.3">
      <c r="A54" s="17" t="s">
        <v>81</v>
      </c>
      <c r="B54" s="4">
        <v>1014</v>
      </c>
      <c r="C54" s="4">
        <v>9</v>
      </c>
      <c r="D54" s="5">
        <v>154</v>
      </c>
      <c r="E54" s="5">
        <v>363</v>
      </c>
      <c r="F54" s="18">
        <v>457</v>
      </c>
      <c r="G54" s="5">
        <v>850</v>
      </c>
      <c r="H54" s="5">
        <v>9</v>
      </c>
      <c r="I54" s="5">
        <v>6</v>
      </c>
      <c r="J54" s="5">
        <v>1</v>
      </c>
      <c r="K54" s="5">
        <v>113</v>
      </c>
      <c r="L54" s="5">
        <v>3</v>
      </c>
      <c r="M54" s="5">
        <v>11</v>
      </c>
      <c r="N54" s="5"/>
      <c r="O54" s="5">
        <v>1</v>
      </c>
      <c r="P54" s="5">
        <v>2</v>
      </c>
      <c r="Q54" s="5">
        <v>4</v>
      </c>
      <c r="R54" s="5">
        <v>3</v>
      </c>
      <c r="S54" s="5">
        <v>5</v>
      </c>
      <c r="T54" s="5">
        <v>15</v>
      </c>
      <c r="U54" s="5">
        <v>1</v>
      </c>
      <c r="V54" s="5">
        <v>10</v>
      </c>
      <c r="W54" s="5">
        <v>4</v>
      </c>
      <c r="X54" s="5">
        <v>230</v>
      </c>
      <c r="Y54" s="5">
        <v>12</v>
      </c>
      <c r="Z54" s="5"/>
      <c r="AA54" s="5">
        <v>4</v>
      </c>
      <c r="AB54" s="5">
        <v>6</v>
      </c>
      <c r="AC54" s="5">
        <v>3</v>
      </c>
      <c r="AD54" s="6">
        <f t="shared" si="0"/>
        <v>443</v>
      </c>
      <c r="AE54" s="5">
        <v>13</v>
      </c>
    </row>
    <row r="55" spans="1:31" x14ac:dyDescent="0.3">
      <c r="A55" s="17" t="s">
        <v>82</v>
      </c>
      <c r="B55" s="4">
        <v>1294</v>
      </c>
      <c r="C55" s="4">
        <v>9</v>
      </c>
      <c r="D55" s="5">
        <v>220</v>
      </c>
      <c r="E55" s="5">
        <v>580</v>
      </c>
      <c r="F55" s="18">
        <v>700</v>
      </c>
      <c r="G55" s="5">
        <v>1150</v>
      </c>
      <c r="H55" s="5">
        <v>11</v>
      </c>
      <c r="I55" s="5">
        <v>5</v>
      </c>
      <c r="J55" s="5"/>
      <c r="K55" s="5">
        <v>190</v>
      </c>
      <c r="L55" s="5">
        <v>18</v>
      </c>
      <c r="M55" s="5">
        <v>7</v>
      </c>
      <c r="N55" s="5">
        <v>1</v>
      </c>
      <c r="O55" s="5">
        <v>4</v>
      </c>
      <c r="P55" s="5">
        <v>3</v>
      </c>
      <c r="Q55" s="5">
        <v>17</v>
      </c>
      <c r="R55" s="5">
        <v>4</v>
      </c>
      <c r="S55" s="5">
        <v>1</v>
      </c>
      <c r="T55" s="5">
        <v>10</v>
      </c>
      <c r="U55" s="5"/>
      <c r="V55" s="5"/>
      <c r="W55" s="5">
        <v>7</v>
      </c>
      <c r="X55" s="5">
        <v>393</v>
      </c>
      <c r="Y55" s="5">
        <v>8</v>
      </c>
      <c r="Z55" s="5"/>
      <c r="AA55" s="5"/>
      <c r="AB55" s="5">
        <v>8</v>
      </c>
      <c r="AC55" s="5">
        <v>2</v>
      </c>
      <c r="AD55" s="6">
        <f t="shared" si="0"/>
        <v>689</v>
      </c>
      <c r="AE55" s="5">
        <v>11</v>
      </c>
    </row>
    <row r="56" spans="1:31" x14ac:dyDescent="0.3">
      <c r="A56" s="17" t="s">
        <v>83</v>
      </c>
      <c r="B56" s="4">
        <v>840</v>
      </c>
      <c r="C56" s="4">
        <v>5</v>
      </c>
      <c r="D56" s="5">
        <v>165</v>
      </c>
      <c r="E56" s="5">
        <v>405</v>
      </c>
      <c r="F56" s="18">
        <v>485</v>
      </c>
      <c r="G56" s="5">
        <v>750</v>
      </c>
      <c r="H56" s="5">
        <v>6</v>
      </c>
      <c r="I56" s="5">
        <v>6</v>
      </c>
      <c r="J56" s="5"/>
      <c r="K56" s="5">
        <v>91</v>
      </c>
      <c r="L56" s="5">
        <v>21</v>
      </c>
      <c r="M56" s="5">
        <v>3</v>
      </c>
      <c r="N56" s="5">
        <v>3</v>
      </c>
      <c r="O56" s="5"/>
      <c r="P56" s="5">
        <v>5</v>
      </c>
      <c r="Q56" s="5">
        <v>1</v>
      </c>
      <c r="R56" s="5">
        <v>1</v>
      </c>
      <c r="S56" s="5">
        <v>1</v>
      </c>
      <c r="T56" s="5">
        <v>17</v>
      </c>
      <c r="U56" s="5">
        <v>2</v>
      </c>
      <c r="V56" s="5">
        <v>3</v>
      </c>
      <c r="W56" s="5">
        <v>1</v>
      </c>
      <c r="X56" s="5">
        <v>292</v>
      </c>
      <c r="Y56" s="5">
        <v>4</v>
      </c>
      <c r="Z56" s="5">
        <v>1</v>
      </c>
      <c r="AA56" s="5"/>
      <c r="AB56" s="5">
        <v>5</v>
      </c>
      <c r="AC56" s="5">
        <v>1</v>
      </c>
      <c r="AD56" s="6">
        <f t="shared" si="0"/>
        <v>464</v>
      </c>
      <c r="AE56" s="5">
        <v>21</v>
      </c>
    </row>
    <row r="57" spans="1:31" x14ac:dyDescent="0.3">
      <c r="A57" s="17" t="s">
        <v>86</v>
      </c>
      <c r="B57" s="4">
        <v>1038</v>
      </c>
      <c r="C57" s="4">
        <v>3</v>
      </c>
      <c r="D57" s="5">
        <v>184</v>
      </c>
      <c r="E57" s="5">
        <v>503</v>
      </c>
      <c r="F57" s="18">
        <v>729</v>
      </c>
      <c r="G57" s="5">
        <v>950</v>
      </c>
      <c r="H57" s="5">
        <v>14</v>
      </c>
      <c r="I57" s="5">
        <v>2</v>
      </c>
      <c r="J57" s="5"/>
      <c r="K57" s="5">
        <v>432</v>
      </c>
      <c r="L57" s="5">
        <v>4</v>
      </c>
      <c r="M57" s="5">
        <v>7</v>
      </c>
      <c r="N57" s="5">
        <v>3</v>
      </c>
      <c r="O57" s="5"/>
      <c r="P57" s="5">
        <v>2</v>
      </c>
      <c r="Q57" s="5">
        <v>3</v>
      </c>
      <c r="R57" s="5"/>
      <c r="S57" s="5"/>
      <c r="T57" s="5">
        <v>5</v>
      </c>
      <c r="U57" s="5"/>
      <c r="V57" s="5">
        <v>1</v>
      </c>
      <c r="W57" s="5"/>
      <c r="X57" s="5">
        <v>235</v>
      </c>
      <c r="Y57" s="5"/>
      <c r="Z57" s="5"/>
      <c r="AA57" s="5"/>
      <c r="AB57" s="5">
        <v>4</v>
      </c>
      <c r="AC57" s="5"/>
      <c r="AD57" s="6">
        <f t="shared" si="0"/>
        <v>712</v>
      </c>
      <c r="AE57" s="5">
        <v>16</v>
      </c>
    </row>
    <row r="58" spans="1:31" x14ac:dyDescent="0.3">
      <c r="A58" s="17" t="s">
        <v>87</v>
      </c>
      <c r="B58" s="4">
        <v>584</v>
      </c>
      <c r="C58" s="4">
        <v>7</v>
      </c>
      <c r="D58" s="5">
        <v>120</v>
      </c>
      <c r="E58" s="5">
        <v>293</v>
      </c>
      <c r="F58" s="18">
        <v>368</v>
      </c>
      <c r="G58" s="5">
        <v>500</v>
      </c>
      <c r="H58" s="5">
        <v>6</v>
      </c>
      <c r="I58" s="5">
        <v>5</v>
      </c>
      <c r="J58" s="5">
        <v>1</v>
      </c>
      <c r="K58" s="5">
        <v>113</v>
      </c>
      <c r="L58" s="5">
        <v>18</v>
      </c>
      <c r="M58" s="5">
        <v>4</v>
      </c>
      <c r="N58" s="5"/>
      <c r="O58" s="5"/>
      <c r="P58" s="5">
        <v>7</v>
      </c>
      <c r="Q58" s="5"/>
      <c r="R58" s="5">
        <v>4</v>
      </c>
      <c r="S58" s="5"/>
      <c r="T58" s="5">
        <v>5</v>
      </c>
      <c r="U58" s="5"/>
      <c r="V58" s="5"/>
      <c r="W58" s="5">
        <v>4</v>
      </c>
      <c r="X58" s="5">
        <v>172</v>
      </c>
      <c r="Y58" s="5">
        <v>11</v>
      </c>
      <c r="Z58" s="5"/>
      <c r="AA58" s="5"/>
      <c r="AB58" s="5">
        <v>2</v>
      </c>
      <c r="AC58" s="5">
        <v>1</v>
      </c>
      <c r="AD58" s="6">
        <f t="shared" si="0"/>
        <v>353</v>
      </c>
      <c r="AE58" s="5">
        <v>14</v>
      </c>
    </row>
    <row r="59" spans="1:31" x14ac:dyDescent="0.3">
      <c r="A59" s="17" t="s">
        <v>88</v>
      </c>
      <c r="B59" s="4">
        <v>973</v>
      </c>
      <c r="C59" s="4">
        <v>5</v>
      </c>
      <c r="D59" s="5">
        <v>199</v>
      </c>
      <c r="E59" s="5">
        <v>496</v>
      </c>
      <c r="F59" s="18">
        <v>643</v>
      </c>
      <c r="G59" s="5">
        <v>850</v>
      </c>
      <c r="H59" s="5">
        <v>1</v>
      </c>
      <c r="I59" s="5">
        <v>2</v>
      </c>
      <c r="J59" s="5">
        <v>1</v>
      </c>
      <c r="K59" s="5">
        <v>345</v>
      </c>
      <c r="L59" s="5">
        <v>11</v>
      </c>
      <c r="M59" s="5">
        <v>4</v>
      </c>
      <c r="N59" s="5"/>
      <c r="O59" s="5"/>
      <c r="P59" s="5"/>
      <c r="Q59" s="5">
        <v>1</v>
      </c>
      <c r="R59" s="5">
        <v>4</v>
      </c>
      <c r="S59" s="5"/>
      <c r="T59" s="5">
        <v>5</v>
      </c>
      <c r="U59" s="5">
        <v>1</v>
      </c>
      <c r="V59" s="5">
        <v>3</v>
      </c>
      <c r="W59" s="5">
        <v>1</v>
      </c>
      <c r="X59" s="5">
        <v>234</v>
      </c>
      <c r="Y59" s="5">
        <v>2</v>
      </c>
      <c r="Z59" s="5"/>
      <c r="AA59" s="5">
        <v>1</v>
      </c>
      <c r="AB59" s="5">
        <v>6</v>
      </c>
      <c r="AC59" s="5"/>
      <c r="AD59" s="6">
        <f t="shared" si="0"/>
        <v>622</v>
      </c>
      <c r="AE59" s="5">
        <v>21</v>
      </c>
    </row>
    <row r="60" spans="1:31" x14ac:dyDescent="0.3">
      <c r="A60" s="17" t="s">
        <v>89</v>
      </c>
      <c r="B60" s="4">
        <v>1414</v>
      </c>
      <c r="C60" s="4">
        <v>3</v>
      </c>
      <c r="D60" s="5">
        <v>220</v>
      </c>
      <c r="E60" s="5">
        <v>680</v>
      </c>
      <c r="F60" s="18">
        <v>834</v>
      </c>
      <c r="G60" s="5">
        <v>1300</v>
      </c>
      <c r="H60" s="5">
        <v>7</v>
      </c>
      <c r="I60" s="5">
        <v>14</v>
      </c>
      <c r="J60" s="5">
        <v>2</v>
      </c>
      <c r="K60" s="5">
        <v>298</v>
      </c>
      <c r="L60" s="5">
        <v>26</v>
      </c>
      <c r="M60" s="5">
        <v>7</v>
      </c>
      <c r="N60" s="5">
        <v>1</v>
      </c>
      <c r="O60" s="5"/>
      <c r="P60" s="5">
        <v>4</v>
      </c>
      <c r="Q60" s="5">
        <v>3</v>
      </c>
      <c r="R60" s="5">
        <v>2</v>
      </c>
      <c r="S60" s="5">
        <v>2</v>
      </c>
      <c r="T60" s="5">
        <v>12</v>
      </c>
      <c r="U60" s="5">
        <v>1</v>
      </c>
      <c r="V60" s="5">
        <v>3</v>
      </c>
      <c r="W60" s="5">
        <v>5</v>
      </c>
      <c r="X60" s="5">
        <v>384</v>
      </c>
      <c r="Y60" s="5">
        <v>22</v>
      </c>
      <c r="Z60" s="5"/>
      <c r="AA60" s="5">
        <v>3</v>
      </c>
      <c r="AB60" s="5">
        <v>13</v>
      </c>
      <c r="AC60" s="5">
        <v>4</v>
      </c>
      <c r="AD60" s="6">
        <f t="shared" si="0"/>
        <v>813</v>
      </c>
      <c r="AE60" s="5">
        <v>21</v>
      </c>
    </row>
    <row r="61" spans="1:31" x14ac:dyDescent="0.3">
      <c r="A61" s="17" t="s">
        <v>90</v>
      </c>
      <c r="B61" s="4">
        <v>830</v>
      </c>
      <c r="C61" s="4">
        <v>4</v>
      </c>
      <c r="D61" s="5">
        <v>164</v>
      </c>
      <c r="E61" s="5">
        <v>401</v>
      </c>
      <c r="F61" s="18">
        <v>549</v>
      </c>
      <c r="G61" s="5">
        <v>750</v>
      </c>
      <c r="H61" s="5">
        <v>8</v>
      </c>
      <c r="I61" s="5">
        <v>9</v>
      </c>
      <c r="J61" s="5"/>
      <c r="K61" s="5">
        <v>137</v>
      </c>
      <c r="L61" s="5">
        <v>25</v>
      </c>
      <c r="M61" s="5">
        <v>5</v>
      </c>
      <c r="N61" s="5"/>
      <c r="O61" s="5">
        <v>2</v>
      </c>
      <c r="P61" s="5">
        <v>5</v>
      </c>
      <c r="Q61" s="5">
        <v>1</v>
      </c>
      <c r="R61" s="5">
        <v>4</v>
      </c>
      <c r="S61" s="5"/>
      <c r="T61" s="5">
        <v>10</v>
      </c>
      <c r="U61" s="5"/>
      <c r="V61" s="5">
        <v>4</v>
      </c>
      <c r="W61" s="5">
        <v>3</v>
      </c>
      <c r="X61" s="5">
        <v>315</v>
      </c>
      <c r="Y61" s="5">
        <v>11</v>
      </c>
      <c r="Z61" s="5"/>
      <c r="AA61" s="5"/>
      <c r="AB61" s="5">
        <v>2</v>
      </c>
      <c r="AC61" s="5">
        <v>1</v>
      </c>
      <c r="AD61" s="6">
        <f t="shared" si="0"/>
        <v>542</v>
      </c>
      <c r="AE61" s="5">
        <v>7</v>
      </c>
    </row>
    <row r="62" spans="1:31" x14ac:dyDescent="0.3">
      <c r="A62" s="17" t="s">
        <v>91</v>
      </c>
      <c r="B62" s="4">
        <v>988</v>
      </c>
      <c r="C62" s="4">
        <v>5</v>
      </c>
      <c r="D62" s="5">
        <v>160</v>
      </c>
      <c r="E62" s="5">
        <v>430</v>
      </c>
      <c r="F62" s="18">
        <v>543</v>
      </c>
      <c r="G62" s="5">
        <v>850</v>
      </c>
      <c r="H62" s="5">
        <v>9</v>
      </c>
      <c r="I62" s="5">
        <v>15</v>
      </c>
      <c r="J62" s="5"/>
      <c r="K62" s="5">
        <v>244</v>
      </c>
      <c r="L62" s="5">
        <v>25</v>
      </c>
      <c r="M62" s="5">
        <v>2</v>
      </c>
      <c r="N62" s="5"/>
      <c r="O62" s="5"/>
      <c r="P62" s="5"/>
      <c r="Q62" s="5"/>
      <c r="R62" s="5">
        <v>3</v>
      </c>
      <c r="S62" s="5"/>
      <c r="T62" s="5">
        <v>18</v>
      </c>
      <c r="U62" s="5">
        <v>1</v>
      </c>
      <c r="V62" s="5">
        <v>2</v>
      </c>
      <c r="W62" s="5">
        <v>2</v>
      </c>
      <c r="X62" s="5">
        <v>204</v>
      </c>
      <c r="Y62" s="5">
        <v>2</v>
      </c>
      <c r="Z62" s="5"/>
      <c r="AA62" s="5"/>
      <c r="AB62" s="5">
        <v>2</v>
      </c>
      <c r="AC62" s="5">
        <v>2</v>
      </c>
      <c r="AD62" s="6">
        <f t="shared" si="0"/>
        <v>531</v>
      </c>
      <c r="AE62" s="5">
        <v>12</v>
      </c>
    </row>
    <row r="63" spans="1:31" x14ac:dyDescent="0.3">
      <c r="A63" s="17" t="s">
        <v>92</v>
      </c>
      <c r="B63" s="4">
        <v>616</v>
      </c>
      <c r="C63" s="4">
        <v>7</v>
      </c>
      <c r="D63" s="5">
        <v>135</v>
      </c>
      <c r="E63" s="5">
        <v>302</v>
      </c>
      <c r="F63" s="18">
        <v>367</v>
      </c>
      <c r="G63" s="5">
        <v>550</v>
      </c>
      <c r="H63" s="5">
        <v>3</v>
      </c>
      <c r="I63" s="5">
        <v>4</v>
      </c>
      <c r="J63" s="5"/>
      <c r="K63" s="5">
        <v>95</v>
      </c>
      <c r="L63" s="5">
        <v>14</v>
      </c>
      <c r="M63" s="5">
        <v>1</v>
      </c>
      <c r="N63" s="5"/>
      <c r="O63" s="5"/>
      <c r="P63" s="5"/>
      <c r="Q63" s="5">
        <v>1</v>
      </c>
      <c r="R63" s="5"/>
      <c r="S63" s="5"/>
      <c r="T63" s="5">
        <v>6</v>
      </c>
      <c r="U63" s="5"/>
      <c r="V63" s="5"/>
      <c r="W63" s="5">
        <v>2</v>
      </c>
      <c r="X63" s="5">
        <v>216</v>
      </c>
      <c r="Y63" s="5">
        <v>1</v>
      </c>
      <c r="Z63" s="5">
        <v>1</v>
      </c>
      <c r="AA63" s="5">
        <v>2</v>
      </c>
      <c r="AB63" s="5">
        <v>9</v>
      </c>
      <c r="AC63" s="5">
        <v>1</v>
      </c>
      <c r="AD63" s="6">
        <f t="shared" si="0"/>
        <v>356</v>
      </c>
      <c r="AE63" s="5">
        <v>11</v>
      </c>
    </row>
    <row r="64" spans="1:31" x14ac:dyDescent="0.3">
      <c r="A64" s="17" t="s">
        <v>93</v>
      </c>
      <c r="B64" s="4">
        <v>820</v>
      </c>
      <c r="C64" s="4">
        <v>6</v>
      </c>
      <c r="D64" s="5">
        <v>158</v>
      </c>
      <c r="E64" s="5">
        <v>370</v>
      </c>
      <c r="F64" s="18">
        <v>455</v>
      </c>
      <c r="G64" s="5">
        <v>750</v>
      </c>
      <c r="H64" s="5">
        <v>9</v>
      </c>
      <c r="I64" s="5">
        <v>3</v>
      </c>
      <c r="J64" s="5">
        <v>1</v>
      </c>
      <c r="K64" s="5">
        <v>169</v>
      </c>
      <c r="L64" s="5">
        <v>10</v>
      </c>
      <c r="M64" s="5">
        <v>2</v>
      </c>
      <c r="N64" s="5">
        <v>1</v>
      </c>
      <c r="O64" s="5"/>
      <c r="P64" s="5"/>
      <c r="Q64" s="5">
        <v>1</v>
      </c>
      <c r="R64" s="5">
        <v>2</v>
      </c>
      <c r="S64" s="5"/>
      <c r="T64" s="5">
        <v>11</v>
      </c>
      <c r="U64" s="5"/>
      <c r="V64" s="5">
        <v>5</v>
      </c>
      <c r="W64" s="5">
        <v>4</v>
      </c>
      <c r="X64" s="5">
        <v>215</v>
      </c>
      <c r="Y64" s="5">
        <v>1</v>
      </c>
      <c r="Z64" s="5"/>
      <c r="AA64" s="5">
        <v>4</v>
      </c>
      <c r="AB64" s="5">
        <v>9</v>
      </c>
      <c r="AC64" s="5">
        <v>1</v>
      </c>
      <c r="AD64" s="6">
        <f t="shared" si="0"/>
        <v>448</v>
      </c>
      <c r="AE64" s="5">
        <v>7</v>
      </c>
    </row>
    <row r="65" spans="1:31" x14ac:dyDescent="0.3">
      <c r="A65" s="17" t="s">
        <v>94</v>
      </c>
      <c r="B65" s="4">
        <v>718</v>
      </c>
      <c r="C65" s="4">
        <v>6</v>
      </c>
      <c r="D65" s="5">
        <v>207</v>
      </c>
      <c r="E65" s="5">
        <v>388</v>
      </c>
      <c r="F65" s="18">
        <v>472</v>
      </c>
      <c r="G65" s="5">
        <v>650</v>
      </c>
      <c r="H65" s="5">
        <v>11</v>
      </c>
      <c r="I65" s="5">
        <v>5</v>
      </c>
      <c r="J65" s="5">
        <v>2</v>
      </c>
      <c r="K65" s="5">
        <v>222</v>
      </c>
      <c r="L65" s="5">
        <v>8</v>
      </c>
      <c r="M65" s="5">
        <v>1</v>
      </c>
      <c r="N65" s="5">
        <v>1</v>
      </c>
      <c r="O65" s="5"/>
      <c r="P65" s="5">
        <v>1</v>
      </c>
      <c r="Q65" s="5"/>
      <c r="R65" s="5">
        <v>3</v>
      </c>
      <c r="S65" s="5"/>
      <c r="T65" s="5">
        <v>15</v>
      </c>
      <c r="U65" s="5"/>
      <c r="V65" s="5"/>
      <c r="W65" s="5">
        <v>2</v>
      </c>
      <c r="X65" s="5">
        <v>190</v>
      </c>
      <c r="Y65" s="5">
        <v>2</v>
      </c>
      <c r="Z65" s="5"/>
      <c r="AA65" s="5">
        <v>1</v>
      </c>
      <c r="AB65" s="5">
        <v>2</v>
      </c>
      <c r="AC65" s="5">
        <v>2</v>
      </c>
      <c r="AD65" s="6">
        <f t="shared" si="0"/>
        <v>468</v>
      </c>
      <c r="AE65" s="5">
        <v>4</v>
      </c>
    </row>
    <row r="66" spans="1:31" x14ac:dyDescent="0.3">
      <c r="A66" s="17" t="s">
        <v>95</v>
      </c>
      <c r="B66" s="4">
        <v>661</v>
      </c>
      <c r="C66" s="4">
        <v>10</v>
      </c>
      <c r="D66" s="5">
        <v>138</v>
      </c>
      <c r="E66" s="5">
        <v>375</v>
      </c>
      <c r="F66" s="18">
        <v>431</v>
      </c>
      <c r="G66" s="5">
        <v>600</v>
      </c>
      <c r="H66" s="5">
        <v>9</v>
      </c>
      <c r="I66" s="5">
        <v>5</v>
      </c>
      <c r="J66" s="5"/>
      <c r="K66" s="5">
        <v>181</v>
      </c>
      <c r="L66" s="5">
        <v>3</v>
      </c>
      <c r="M66" s="5">
        <v>2</v>
      </c>
      <c r="N66" s="5">
        <v>2</v>
      </c>
      <c r="O66" s="5">
        <v>2</v>
      </c>
      <c r="P66" s="5"/>
      <c r="Q66" s="5">
        <v>2</v>
      </c>
      <c r="R66" s="5">
        <v>1</v>
      </c>
      <c r="S66" s="5"/>
      <c r="T66" s="5">
        <v>9</v>
      </c>
      <c r="U66" s="5">
        <v>1</v>
      </c>
      <c r="V66" s="5"/>
      <c r="W66" s="5">
        <v>3</v>
      </c>
      <c r="X66" s="5">
        <v>193</v>
      </c>
      <c r="Y66" s="5">
        <v>2</v>
      </c>
      <c r="Z66" s="5"/>
      <c r="AA66" s="5"/>
      <c r="AB66" s="5">
        <v>7</v>
      </c>
      <c r="AC66" s="5">
        <v>1</v>
      </c>
      <c r="AD66" s="6">
        <f t="shared" si="0"/>
        <v>423</v>
      </c>
      <c r="AE66" s="5">
        <v>8</v>
      </c>
    </row>
    <row r="67" spans="1:31" x14ac:dyDescent="0.3">
      <c r="A67" s="17" t="s">
        <v>113</v>
      </c>
      <c r="B67" s="4"/>
      <c r="C67" s="4">
        <v>73</v>
      </c>
      <c r="D67" s="5"/>
      <c r="E67" s="5"/>
      <c r="F67" s="18">
        <v>68</v>
      </c>
      <c r="G67" s="5">
        <v>100</v>
      </c>
      <c r="H67" s="5"/>
      <c r="I67" s="5"/>
      <c r="J67" s="5"/>
      <c r="K67" s="5">
        <v>13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>
        <v>11</v>
      </c>
      <c r="Y67" s="5"/>
      <c r="Z67" s="5"/>
      <c r="AA67" s="5"/>
      <c r="AB67" s="5"/>
      <c r="AC67" s="5"/>
      <c r="AD67" s="6">
        <f t="shared" ref="AD67:AD73" si="1">SUM(H67:AC67)</f>
        <v>24</v>
      </c>
      <c r="AE67" s="5"/>
    </row>
    <row r="68" spans="1:31" x14ac:dyDescent="0.3">
      <c r="A68" s="17" t="s">
        <v>114</v>
      </c>
      <c r="B68" s="4"/>
      <c r="C68" s="4">
        <v>156</v>
      </c>
      <c r="D68" s="5"/>
      <c r="E68" s="5"/>
      <c r="F68" s="18">
        <v>47</v>
      </c>
      <c r="G68" s="5">
        <v>200</v>
      </c>
      <c r="H68" s="5">
        <v>1</v>
      </c>
      <c r="I68" s="5">
        <v>1</v>
      </c>
      <c r="J68" s="5"/>
      <c r="K68" s="5">
        <v>7</v>
      </c>
      <c r="L68" s="5">
        <v>1</v>
      </c>
      <c r="M68" s="5"/>
      <c r="N68" s="5"/>
      <c r="O68" s="5"/>
      <c r="P68" s="5">
        <v>1</v>
      </c>
      <c r="Q68" s="5">
        <v>3</v>
      </c>
      <c r="R68" s="5">
        <v>1</v>
      </c>
      <c r="S68" s="5"/>
      <c r="T68" s="5"/>
      <c r="U68" s="5"/>
      <c r="V68" s="5"/>
      <c r="W68" s="5"/>
      <c r="X68" s="5">
        <v>27</v>
      </c>
      <c r="Y68" s="5"/>
      <c r="Z68" s="5"/>
      <c r="AA68" s="5"/>
      <c r="AB68" s="5">
        <v>1</v>
      </c>
      <c r="AC68" s="5"/>
      <c r="AD68" s="6">
        <f t="shared" si="1"/>
        <v>43</v>
      </c>
      <c r="AE68" s="5"/>
    </row>
    <row r="69" spans="1:31" x14ac:dyDescent="0.3">
      <c r="A69" s="17" t="s">
        <v>115</v>
      </c>
      <c r="B69" s="4"/>
      <c r="C69" s="4">
        <v>60</v>
      </c>
      <c r="D69" s="5"/>
      <c r="E69" s="5"/>
      <c r="F69" s="18">
        <v>57</v>
      </c>
      <c r="G69" s="5">
        <v>100</v>
      </c>
      <c r="H69" s="5">
        <v>2</v>
      </c>
      <c r="I69" s="5"/>
      <c r="J69" s="5"/>
      <c r="K69" s="5">
        <v>4</v>
      </c>
      <c r="L69" s="5">
        <v>3</v>
      </c>
      <c r="M69" s="5">
        <v>1</v>
      </c>
      <c r="N69" s="5"/>
      <c r="O69" s="5"/>
      <c r="P69" s="5"/>
      <c r="Q69" s="5"/>
      <c r="R69" s="5"/>
      <c r="S69" s="5"/>
      <c r="T69" s="5">
        <v>1</v>
      </c>
      <c r="U69" s="5"/>
      <c r="V69" s="5"/>
      <c r="W69" s="5">
        <v>1</v>
      </c>
      <c r="X69" s="5">
        <v>5</v>
      </c>
      <c r="Y69" s="5">
        <v>1</v>
      </c>
      <c r="Z69" s="5"/>
      <c r="AA69" s="5"/>
      <c r="AB69" s="5"/>
      <c r="AC69" s="5"/>
      <c r="AD69" s="6">
        <f t="shared" si="1"/>
        <v>18</v>
      </c>
      <c r="AE69" s="5">
        <v>1</v>
      </c>
    </row>
    <row r="70" spans="1:31" x14ac:dyDescent="0.3">
      <c r="A70" s="17" t="s">
        <v>116</v>
      </c>
      <c r="B70" s="4"/>
      <c r="C70" s="4">
        <v>31</v>
      </c>
      <c r="D70" s="5"/>
      <c r="E70" s="5"/>
      <c r="F70" s="18">
        <v>26</v>
      </c>
      <c r="G70" s="5">
        <v>50</v>
      </c>
      <c r="H70" s="5">
        <v>1</v>
      </c>
      <c r="I70" s="5"/>
      <c r="J70" s="5"/>
      <c r="K70" s="5">
        <v>3</v>
      </c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>
        <v>15</v>
      </c>
      <c r="Y70" s="5">
        <v>1</v>
      </c>
      <c r="Z70" s="5"/>
      <c r="AA70" s="5"/>
      <c r="AB70" s="5">
        <v>2</v>
      </c>
      <c r="AC70" s="5"/>
      <c r="AD70" s="6">
        <f t="shared" si="1"/>
        <v>22</v>
      </c>
      <c r="AE70" s="5"/>
    </row>
    <row r="71" spans="1:31" x14ac:dyDescent="0.3">
      <c r="A71" s="17" t="s">
        <v>96</v>
      </c>
      <c r="B71" s="4">
        <v>865</v>
      </c>
      <c r="C71" s="4">
        <v>7</v>
      </c>
      <c r="D71" s="5">
        <v>180</v>
      </c>
      <c r="E71" s="5">
        <v>418</v>
      </c>
      <c r="F71" s="18">
        <v>496</v>
      </c>
      <c r="G71" s="5">
        <v>800</v>
      </c>
      <c r="H71" s="5">
        <v>11</v>
      </c>
      <c r="I71" s="5">
        <v>4</v>
      </c>
      <c r="J71" s="5"/>
      <c r="K71" s="5">
        <v>107</v>
      </c>
      <c r="L71" s="5">
        <v>44</v>
      </c>
      <c r="M71" s="5">
        <v>3</v>
      </c>
      <c r="N71" s="5">
        <v>1</v>
      </c>
      <c r="O71" s="5"/>
      <c r="P71" s="5">
        <v>7</v>
      </c>
      <c r="Q71" s="5"/>
      <c r="R71" s="5"/>
      <c r="S71" s="5">
        <v>1</v>
      </c>
      <c r="T71" s="5">
        <v>8</v>
      </c>
      <c r="U71" s="5"/>
      <c r="V71" s="5">
        <v>2</v>
      </c>
      <c r="W71" s="5">
        <v>2</v>
      </c>
      <c r="X71" s="5">
        <v>275</v>
      </c>
      <c r="Y71" s="5"/>
      <c r="Z71" s="5">
        <v>2</v>
      </c>
      <c r="AA71" s="5">
        <v>1</v>
      </c>
      <c r="AB71" s="5">
        <v>10</v>
      </c>
      <c r="AC71" s="5">
        <v>3</v>
      </c>
      <c r="AD71" s="6">
        <f t="shared" si="1"/>
        <v>481</v>
      </c>
      <c r="AE71" s="5">
        <v>11</v>
      </c>
    </row>
    <row r="72" spans="1:31" x14ac:dyDescent="0.3">
      <c r="A72" s="17" t="s">
        <v>97</v>
      </c>
      <c r="B72" s="4">
        <v>742</v>
      </c>
      <c r="C72" s="4">
        <v>5</v>
      </c>
      <c r="D72" s="5">
        <v>144</v>
      </c>
      <c r="E72" s="5">
        <v>374</v>
      </c>
      <c r="F72" s="18">
        <v>451</v>
      </c>
      <c r="G72" s="5">
        <v>650</v>
      </c>
      <c r="H72" s="5">
        <v>19</v>
      </c>
      <c r="I72" s="5">
        <v>7</v>
      </c>
      <c r="J72" s="5">
        <v>2</v>
      </c>
      <c r="K72" s="5">
        <v>138</v>
      </c>
      <c r="L72" s="5">
        <v>26</v>
      </c>
      <c r="M72" s="5">
        <v>1</v>
      </c>
      <c r="N72" s="5"/>
      <c r="O72" s="5"/>
      <c r="P72" s="5">
        <v>3</v>
      </c>
      <c r="Q72" s="5">
        <v>1</v>
      </c>
      <c r="R72" s="5">
        <v>4</v>
      </c>
      <c r="S72" s="5">
        <v>2</v>
      </c>
      <c r="T72" s="5">
        <v>11</v>
      </c>
      <c r="U72" s="5"/>
      <c r="V72" s="5">
        <v>1</v>
      </c>
      <c r="W72" s="5">
        <v>3</v>
      </c>
      <c r="X72" s="5">
        <v>214</v>
      </c>
      <c r="Y72" s="5">
        <v>3</v>
      </c>
      <c r="Z72" s="5">
        <v>1</v>
      </c>
      <c r="AA72" s="5"/>
      <c r="AB72" s="5">
        <v>7</v>
      </c>
      <c r="AC72" s="5">
        <v>3</v>
      </c>
      <c r="AD72" s="6">
        <f t="shared" si="1"/>
        <v>446</v>
      </c>
      <c r="AE72" s="5">
        <v>5</v>
      </c>
    </row>
    <row r="73" spans="1:31" x14ac:dyDescent="0.3">
      <c r="A73" s="17" t="s">
        <v>98</v>
      </c>
      <c r="B73" s="4">
        <v>820</v>
      </c>
      <c r="C73" s="4">
        <v>8</v>
      </c>
      <c r="D73" s="5">
        <v>171</v>
      </c>
      <c r="E73" s="5">
        <v>434</v>
      </c>
      <c r="F73" s="18">
        <v>529</v>
      </c>
      <c r="G73" s="5">
        <v>750</v>
      </c>
      <c r="H73" s="5">
        <v>10</v>
      </c>
      <c r="I73" s="5">
        <v>9</v>
      </c>
      <c r="J73" s="5">
        <v>1</v>
      </c>
      <c r="K73" s="5">
        <v>145</v>
      </c>
      <c r="L73" s="5">
        <v>40</v>
      </c>
      <c r="M73" s="5">
        <v>4</v>
      </c>
      <c r="N73" s="5">
        <v>1</v>
      </c>
      <c r="O73" s="5">
        <v>1</v>
      </c>
      <c r="P73" s="5">
        <v>7</v>
      </c>
      <c r="Q73" s="5"/>
      <c r="R73" s="5">
        <v>1</v>
      </c>
      <c r="S73" s="5">
        <v>1</v>
      </c>
      <c r="T73" s="5">
        <v>26</v>
      </c>
      <c r="U73" s="5">
        <v>1</v>
      </c>
      <c r="V73" s="5"/>
      <c r="W73" s="5">
        <v>4</v>
      </c>
      <c r="X73" s="5">
        <v>253</v>
      </c>
      <c r="Y73" s="5">
        <v>3</v>
      </c>
      <c r="Z73" s="5">
        <v>2</v>
      </c>
      <c r="AA73" s="5"/>
      <c r="AB73" s="5">
        <v>7</v>
      </c>
      <c r="AC73" s="5">
        <v>1</v>
      </c>
      <c r="AD73" s="6">
        <f t="shared" si="1"/>
        <v>517</v>
      </c>
      <c r="AE73" s="5">
        <v>12</v>
      </c>
    </row>
    <row r="74" spans="1:31" x14ac:dyDescent="0.3">
      <c r="A74" s="17" t="s">
        <v>99</v>
      </c>
      <c r="B74" s="4">
        <v>579</v>
      </c>
      <c r="C74" s="4">
        <v>1</v>
      </c>
      <c r="D74" s="5">
        <v>112</v>
      </c>
      <c r="E74" s="5">
        <v>283</v>
      </c>
      <c r="F74" s="18">
        <v>373</v>
      </c>
      <c r="G74" s="5">
        <v>500</v>
      </c>
      <c r="H74" s="5">
        <v>5</v>
      </c>
      <c r="I74" s="5">
        <v>2</v>
      </c>
      <c r="J74" s="5">
        <v>1</v>
      </c>
      <c r="K74" s="5">
        <v>97</v>
      </c>
      <c r="L74" s="5">
        <v>22</v>
      </c>
      <c r="M74" s="5">
        <v>1</v>
      </c>
      <c r="N74" s="5"/>
      <c r="O74" s="5">
        <v>1</v>
      </c>
      <c r="P74" s="5">
        <v>16</v>
      </c>
      <c r="Q74" s="5">
        <v>1</v>
      </c>
      <c r="R74" s="5"/>
      <c r="S74" s="5"/>
      <c r="T74" s="5">
        <v>4</v>
      </c>
      <c r="U74" s="5"/>
      <c r="V74" s="5"/>
      <c r="W74" s="5">
        <v>4</v>
      </c>
      <c r="X74" s="5">
        <v>191</v>
      </c>
      <c r="Y74" s="5">
        <v>5</v>
      </c>
      <c r="Z74" s="5">
        <v>1</v>
      </c>
      <c r="AA74" s="5">
        <v>7</v>
      </c>
      <c r="AB74" s="5">
        <v>5</v>
      </c>
      <c r="AC74" s="5"/>
      <c r="AD74" s="6">
        <f>SUM(H74:AC74)</f>
        <v>363</v>
      </c>
      <c r="AE74" s="5">
        <v>10</v>
      </c>
    </row>
    <row r="75" spans="1:31" x14ac:dyDescent="0.3">
      <c r="A75" s="7"/>
      <c r="B75" s="8">
        <f>SUM(B2:B74)</f>
        <v>70837</v>
      </c>
      <c r="C75" s="8">
        <f t="shared" ref="C75:AC75" si="2">SUM(C2:C74)</f>
        <v>737</v>
      </c>
      <c r="D75" s="8">
        <f t="shared" si="2"/>
        <v>13341</v>
      </c>
      <c r="E75" s="8">
        <f t="shared" si="2"/>
        <v>33381</v>
      </c>
      <c r="F75" s="19">
        <f t="shared" si="2"/>
        <v>43375</v>
      </c>
      <c r="G75" s="8">
        <v>64400</v>
      </c>
      <c r="H75" s="8">
        <f>SUM(H2:H74)</f>
        <v>706</v>
      </c>
      <c r="I75" s="8">
        <f t="shared" si="2"/>
        <v>484</v>
      </c>
      <c r="J75" s="8">
        <f t="shared" si="2"/>
        <v>74</v>
      </c>
      <c r="K75" s="8">
        <f t="shared" si="2"/>
        <v>14851</v>
      </c>
      <c r="L75" s="8">
        <f t="shared" si="2"/>
        <v>1267</v>
      </c>
      <c r="M75" s="8">
        <f t="shared" si="2"/>
        <v>295</v>
      </c>
      <c r="N75" s="8">
        <f t="shared" si="2"/>
        <v>101</v>
      </c>
      <c r="O75" s="8">
        <f t="shared" si="2"/>
        <v>38</v>
      </c>
      <c r="P75" s="8">
        <f t="shared" si="2"/>
        <v>232</v>
      </c>
      <c r="Q75" s="8">
        <f t="shared" si="2"/>
        <v>153</v>
      </c>
      <c r="R75" s="8">
        <f t="shared" si="2"/>
        <v>186</v>
      </c>
      <c r="S75" s="8">
        <f t="shared" si="2"/>
        <v>70</v>
      </c>
      <c r="T75" s="8">
        <f t="shared" si="2"/>
        <v>916</v>
      </c>
      <c r="U75" s="8">
        <f t="shared" si="2"/>
        <v>33</v>
      </c>
      <c r="V75" s="8">
        <f t="shared" si="2"/>
        <v>124</v>
      </c>
      <c r="W75" s="8">
        <f t="shared" si="2"/>
        <v>321</v>
      </c>
      <c r="X75" s="8">
        <f t="shared" si="2"/>
        <v>20864</v>
      </c>
      <c r="Y75" s="8">
        <f t="shared" si="2"/>
        <v>346</v>
      </c>
      <c r="Z75" s="8">
        <f t="shared" si="2"/>
        <v>26</v>
      </c>
      <c r="AA75" s="8">
        <f t="shared" si="2"/>
        <v>125</v>
      </c>
      <c r="AB75" s="8">
        <f t="shared" si="2"/>
        <v>682</v>
      </c>
      <c r="AC75" s="8">
        <f t="shared" si="2"/>
        <v>135</v>
      </c>
      <c r="AD75" s="9">
        <f>SUM(AD2:AD74)</f>
        <v>42029</v>
      </c>
      <c r="AE75" s="8">
        <f>SUM(AE2:AE74)</f>
        <v>1122</v>
      </c>
    </row>
    <row r="76" spans="1:31" x14ac:dyDescent="0.3">
      <c r="A76" s="10"/>
      <c r="B76" s="11"/>
      <c r="C76" s="11"/>
      <c r="D76" s="11"/>
      <c r="E76" s="11"/>
      <c r="F76" s="20"/>
      <c r="G76" s="11"/>
      <c r="H76" s="12">
        <f>H75/$AD$75</f>
        <v>1.6797925242094745E-2</v>
      </c>
      <c r="I76" s="12">
        <f t="shared" ref="I76:AC76" si="3">I75/$AD$75</f>
        <v>1.1515858097979966E-2</v>
      </c>
      <c r="J76" s="12">
        <f t="shared" si="3"/>
        <v>1.7606890480382593E-3</v>
      </c>
      <c r="K76" s="12">
        <f t="shared" si="3"/>
        <v>0.35335125746508361</v>
      </c>
      <c r="L76" s="12">
        <f t="shared" si="3"/>
        <v>3.0145851673844249E-2</v>
      </c>
      <c r="M76" s="12">
        <f t="shared" si="3"/>
        <v>7.0189630969092771E-3</v>
      </c>
      <c r="N76" s="12">
        <f t="shared" si="3"/>
        <v>2.4031026196197863E-3</v>
      </c>
      <c r="O76" s="12">
        <f t="shared" si="3"/>
        <v>9.0413761926288994E-4</v>
      </c>
      <c r="P76" s="12">
        <f t="shared" si="3"/>
        <v>5.5199980965523806E-3</v>
      </c>
      <c r="Q76" s="12">
        <f t="shared" si="3"/>
        <v>3.64034357229532E-3</v>
      </c>
      <c r="R76" s="12">
        <f t="shared" si="3"/>
        <v>4.4255157153394089E-3</v>
      </c>
      <c r="S76" s="12">
        <f t="shared" si="3"/>
        <v>1.6655166670632182E-3</v>
      </c>
      <c r="T76" s="12">
        <f t="shared" si="3"/>
        <v>2.17944752432844E-2</v>
      </c>
      <c r="U76" s="12">
        <f t="shared" si="3"/>
        <v>7.8517214304408862E-4</v>
      </c>
      <c r="V76" s="12">
        <f t="shared" si="3"/>
        <v>2.9503438102262722E-3</v>
      </c>
      <c r="W76" s="12">
        <f t="shared" si="3"/>
        <v>7.6375835732470435E-3</v>
      </c>
      <c r="X76" s="12">
        <f t="shared" si="3"/>
        <v>0.49641913916581409</v>
      </c>
      <c r="Y76" s="12">
        <f t="shared" si="3"/>
        <v>8.2324109543410497E-3</v>
      </c>
      <c r="Z76" s="12">
        <f t="shared" si="3"/>
        <v>6.1862047633776682E-4</v>
      </c>
      <c r="AA76" s="12">
        <f t="shared" si="3"/>
        <v>2.9741369054700328E-3</v>
      </c>
      <c r="AB76" s="12">
        <f t="shared" si="3"/>
        <v>1.6226890956244498E-2</v>
      </c>
      <c r="AC76" s="12">
        <f t="shared" si="3"/>
        <v>3.212067857907635E-3</v>
      </c>
      <c r="AD76" s="13">
        <f>SUM(H76:AC76)</f>
        <v>1</v>
      </c>
      <c r="AE76" s="14"/>
    </row>
  </sheetData>
  <phoneticPr fontId="5" type="noConversion"/>
  <conditionalFormatting sqref="F33:G34 F73:F74 F35:F71 F2:F32">
    <cfRule type="expression" dxfId="3" priority="15">
      <formula>F2&lt;E2</formula>
    </cfRule>
  </conditionalFormatting>
  <conditionalFormatting sqref="E13:E32 E73:E74 E35:E71 E2:E11">
    <cfRule type="expression" dxfId="2" priority="12">
      <formula>E2&lt;D2</formula>
    </cfRule>
  </conditionalFormatting>
  <conditionalFormatting sqref="F72">
    <cfRule type="expression" dxfId="1" priority="5">
      <formula>F72&lt;E72</formula>
    </cfRule>
  </conditionalFormatting>
  <pageMargins left="0.23622047244094491" right="0.23622047244094491" top="0.74803149606299213" bottom="0.74803149606299213" header="0.31496062992125984" footer="0.31496062992125984"/>
  <pageSetup scale="7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76"/>
  <sheetViews>
    <sheetView tabSelected="1" zoomScaleNormal="100" workbookViewId="0"/>
  </sheetViews>
  <sheetFormatPr defaultColWidth="9.109375" defaultRowHeight="14.4" x14ac:dyDescent="0.3"/>
  <cols>
    <col min="1" max="1" width="13.21875" style="16" customWidth="1"/>
    <col min="2" max="2" width="8.88671875" style="16" customWidth="1"/>
    <col min="3" max="3" width="5.6640625" style="16" customWidth="1"/>
    <col min="4" max="4" width="7.21875" style="16" customWidth="1"/>
    <col min="5" max="5" width="7.6640625" style="16" customWidth="1"/>
    <col min="6" max="6" width="7" style="21" customWidth="1"/>
    <col min="7" max="7" width="7" style="16" customWidth="1"/>
    <col min="8" max="20" width="7.88671875" style="15" customWidth="1"/>
    <col min="21" max="21" width="7.109375" style="15" customWidth="1"/>
    <col min="22" max="22" width="5.6640625" style="15" customWidth="1"/>
    <col min="23" max="16384" width="9.109375" style="15"/>
  </cols>
  <sheetData>
    <row r="1" spans="1:22" s="31" customFormat="1" ht="44.25" customHeight="1" x14ac:dyDescent="0.3">
      <c r="A1" s="28" t="s">
        <v>0</v>
      </c>
      <c r="B1" s="30" t="s">
        <v>1</v>
      </c>
      <c r="C1" s="26" t="s">
        <v>117</v>
      </c>
      <c r="D1" s="26" t="s">
        <v>3</v>
      </c>
      <c r="E1" s="26" t="s">
        <v>4</v>
      </c>
      <c r="F1" s="29" t="s">
        <v>84</v>
      </c>
      <c r="G1" s="26" t="s">
        <v>85</v>
      </c>
      <c r="H1" s="23" t="s">
        <v>100</v>
      </c>
      <c r="I1" s="23" t="s">
        <v>101</v>
      </c>
      <c r="J1" s="23" t="s">
        <v>102</v>
      </c>
      <c r="K1" s="23" t="s">
        <v>103</v>
      </c>
      <c r="L1" s="23" t="s">
        <v>104</v>
      </c>
      <c r="M1" s="23" t="s">
        <v>105</v>
      </c>
      <c r="N1" s="23" t="s">
        <v>106</v>
      </c>
      <c r="O1" s="23" t="s">
        <v>107</v>
      </c>
      <c r="P1" s="23" t="s">
        <v>108</v>
      </c>
      <c r="Q1" s="23" t="s">
        <v>109</v>
      </c>
      <c r="R1" s="23" t="s">
        <v>110</v>
      </c>
      <c r="S1" s="23" t="s">
        <v>111</v>
      </c>
      <c r="T1" s="23" t="s">
        <v>112</v>
      </c>
      <c r="U1" s="26" t="s">
        <v>6</v>
      </c>
      <c r="V1" s="26" t="s">
        <v>5</v>
      </c>
    </row>
    <row r="2" spans="1:22" ht="21" customHeight="1" x14ac:dyDescent="0.3">
      <c r="A2" s="17" t="s">
        <v>29</v>
      </c>
      <c r="B2" s="4">
        <v>829</v>
      </c>
      <c r="C2" s="4">
        <v>9</v>
      </c>
      <c r="D2" s="5">
        <v>151</v>
      </c>
      <c r="E2" s="5">
        <v>401</v>
      </c>
      <c r="F2" s="18">
        <v>537</v>
      </c>
      <c r="G2" s="5">
        <v>750</v>
      </c>
      <c r="H2" s="5">
        <v>12</v>
      </c>
      <c r="I2" s="5">
        <v>3</v>
      </c>
      <c r="J2" s="5">
        <v>188</v>
      </c>
      <c r="K2" s="5">
        <v>10</v>
      </c>
      <c r="L2" s="5"/>
      <c r="M2" s="5">
        <v>4</v>
      </c>
      <c r="N2" s="5">
        <v>5</v>
      </c>
      <c r="O2" s="5">
        <v>1</v>
      </c>
      <c r="P2" s="5">
        <v>286</v>
      </c>
      <c r="Q2" s="5">
        <v>5</v>
      </c>
      <c r="R2" s="5">
        <v>2</v>
      </c>
      <c r="S2" s="5">
        <v>7</v>
      </c>
      <c r="T2" s="5"/>
      <c r="U2" s="6">
        <f>SUM(H2:T2)</f>
        <v>523</v>
      </c>
      <c r="V2" s="5">
        <v>12</v>
      </c>
    </row>
    <row r="3" spans="1:22" ht="21" customHeight="1" x14ac:dyDescent="0.3">
      <c r="A3" s="17" t="s">
        <v>30</v>
      </c>
      <c r="B3" s="4">
        <v>1040</v>
      </c>
      <c r="C3" s="4">
        <v>12</v>
      </c>
      <c r="D3" s="5">
        <v>173</v>
      </c>
      <c r="E3" s="5">
        <v>430</v>
      </c>
      <c r="F3" s="18">
        <v>552</v>
      </c>
      <c r="G3" s="5">
        <v>900</v>
      </c>
      <c r="H3" s="5">
        <v>8</v>
      </c>
      <c r="I3" s="5">
        <v>17</v>
      </c>
      <c r="J3" s="5">
        <v>153</v>
      </c>
      <c r="K3" s="5">
        <v>17</v>
      </c>
      <c r="L3" s="5"/>
      <c r="M3" s="5">
        <v>7</v>
      </c>
      <c r="N3" s="5">
        <v>2</v>
      </c>
      <c r="O3" s="5">
        <v>3</v>
      </c>
      <c r="P3" s="5">
        <v>265</v>
      </c>
      <c r="Q3" s="5">
        <v>14</v>
      </c>
      <c r="R3" s="5">
        <v>14</v>
      </c>
      <c r="S3" s="5">
        <v>22</v>
      </c>
      <c r="T3" s="5">
        <v>8</v>
      </c>
      <c r="U3" s="6">
        <f t="shared" ref="U3:U66" si="0">SUM(H3:T3)</f>
        <v>530</v>
      </c>
      <c r="V3" s="5">
        <v>16</v>
      </c>
    </row>
    <row r="4" spans="1:22" ht="21" customHeight="1" x14ac:dyDescent="0.3">
      <c r="A4" s="17" t="s">
        <v>31</v>
      </c>
      <c r="B4" s="4">
        <v>1132</v>
      </c>
      <c r="C4" s="4">
        <v>10</v>
      </c>
      <c r="D4" s="5">
        <v>200</v>
      </c>
      <c r="E4" s="5">
        <v>520</v>
      </c>
      <c r="F4" s="18">
        <v>600</v>
      </c>
      <c r="G4" s="5">
        <v>1000</v>
      </c>
      <c r="H4" s="5">
        <v>16</v>
      </c>
      <c r="I4" s="5">
        <v>9</v>
      </c>
      <c r="J4" s="5">
        <v>180</v>
      </c>
      <c r="K4" s="5">
        <v>16</v>
      </c>
      <c r="L4" s="5">
        <v>3</v>
      </c>
      <c r="M4" s="5">
        <v>5</v>
      </c>
      <c r="N4" s="5">
        <v>6</v>
      </c>
      <c r="O4" s="5">
        <v>3</v>
      </c>
      <c r="P4" s="5">
        <v>293</v>
      </c>
      <c r="Q4" s="5">
        <v>8</v>
      </c>
      <c r="R4" s="5">
        <v>7</v>
      </c>
      <c r="S4" s="5">
        <v>28</v>
      </c>
      <c r="T4" s="5"/>
      <c r="U4" s="6">
        <f t="shared" si="0"/>
        <v>574</v>
      </c>
      <c r="V4" s="5">
        <v>26</v>
      </c>
    </row>
    <row r="5" spans="1:22" ht="21" customHeight="1" x14ac:dyDescent="0.3">
      <c r="A5" s="17" t="s">
        <v>32</v>
      </c>
      <c r="B5" s="4">
        <v>1058</v>
      </c>
      <c r="C5" s="4">
        <v>11</v>
      </c>
      <c r="D5" s="5">
        <v>194</v>
      </c>
      <c r="E5" s="5">
        <v>582</v>
      </c>
      <c r="F5" s="18">
        <v>650</v>
      </c>
      <c r="G5" s="5">
        <v>950</v>
      </c>
      <c r="H5" s="5">
        <v>16</v>
      </c>
      <c r="I5" s="5">
        <v>10</v>
      </c>
      <c r="J5" s="5">
        <v>134</v>
      </c>
      <c r="K5" s="5">
        <v>17</v>
      </c>
      <c r="L5" s="5">
        <v>1</v>
      </c>
      <c r="M5" s="5">
        <v>15</v>
      </c>
      <c r="N5" s="5">
        <v>3</v>
      </c>
      <c r="O5" s="5">
        <v>2</v>
      </c>
      <c r="P5" s="5">
        <v>373</v>
      </c>
      <c r="Q5" s="5">
        <v>9</v>
      </c>
      <c r="R5" s="5">
        <v>13</v>
      </c>
      <c r="S5" s="5">
        <v>26</v>
      </c>
      <c r="T5" s="5"/>
      <c r="U5" s="6">
        <f t="shared" si="0"/>
        <v>619</v>
      </c>
      <c r="V5" s="5">
        <v>29</v>
      </c>
    </row>
    <row r="6" spans="1:22" ht="21" customHeight="1" x14ac:dyDescent="0.3">
      <c r="A6" s="17" t="s">
        <v>33</v>
      </c>
      <c r="B6" s="4">
        <v>1181</v>
      </c>
      <c r="C6" s="4">
        <v>12</v>
      </c>
      <c r="D6" s="5">
        <v>206</v>
      </c>
      <c r="E6" s="5">
        <v>545</v>
      </c>
      <c r="F6" s="18">
        <v>630</v>
      </c>
      <c r="G6" s="5">
        <v>1050</v>
      </c>
      <c r="H6" s="5">
        <v>12</v>
      </c>
      <c r="I6" s="5">
        <v>7</v>
      </c>
      <c r="J6" s="5">
        <v>234</v>
      </c>
      <c r="K6" s="5">
        <v>19</v>
      </c>
      <c r="L6" s="5">
        <v>2</v>
      </c>
      <c r="M6" s="5">
        <v>11</v>
      </c>
      <c r="N6" s="5">
        <v>3</v>
      </c>
      <c r="O6" s="5">
        <v>6</v>
      </c>
      <c r="P6" s="5">
        <v>242</v>
      </c>
      <c r="Q6" s="5">
        <v>11</v>
      </c>
      <c r="R6" s="5">
        <v>40</v>
      </c>
      <c r="S6" s="5">
        <v>20</v>
      </c>
      <c r="T6" s="5">
        <v>1</v>
      </c>
      <c r="U6" s="6">
        <f t="shared" si="0"/>
        <v>608</v>
      </c>
      <c r="V6" s="5"/>
    </row>
    <row r="7" spans="1:22" ht="21" customHeight="1" x14ac:dyDescent="0.3">
      <c r="A7" s="17" t="s">
        <v>34</v>
      </c>
      <c r="B7" s="4">
        <v>722</v>
      </c>
      <c r="C7" s="4">
        <v>9</v>
      </c>
      <c r="D7" s="5">
        <v>122</v>
      </c>
      <c r="E7" s="5">
        <v>358</v>
      </c>
      <c r="F7" s="18">
        <v>441</v>
      </c>
      <c r="G7" s="5">
        <v>650</v>
      </c>
      <c r="H7" s="5"/>
      <c r="I7" s="5"/>
      <c r="J7" s="5">
        <v>91</v>
      </c>
      <c r="K7" s="5">
        <v>20</v>
      </c>
      <c r="L7" s="5">
        <v>1</v>
      </c>
      <c r="M7" s="5">
        <v>4</v>
      </c>
      <c r="N7" s="5">
        <v>8</v>
      </c>
      <c r="O7" s="5">
        <v>9</v>
      </c>
      <c r="P7" s="5">
        <v>241</v>
      </c>
      <c r="Q7" s="5">
        <v>7</v>
      </c>
      <c r="R7" s="5">
        <v>15</v>
      </c>
      <c r="S7" s="5">
        <v>12</v>
      </c>
      <c r="T7" s="5">
        <v>5</v>
      </c>
      <c r="U7" s="6">
        <f t="shared" si="0"/>
        <v>413</v>
      </c>
      <c r="V7" s="5">
        <v>28</v>
      </c>
    </row>
    <row r="8" spans="1:22" ht="21" customHeight="1" x14ac:dyDescent="0.3">
      <c r="A8" s="17" t="s">
        <v>35</v>
      </c>
      <c r="B8" s="4">
        <v>1229</v>
      </c>
      <c r="C8" s="4">
        <v>10</v>
      </c>
      <c r="D8" s="5">
        <v>240</v>
      </c>
      <c r="E8" s="5">
        <v>560</v>
      </c>
      <c r="F8" s="18">
        <v>694</v>
      </c>
      <c r="G8" s="5">
        <v>1100</v>
      </c>
      <c r="H8" s="5">
        <v>9</v>
      </c>
      <c r="I8" s="5">
        <v>4</v>
      </c>
      <c r="J8" s="5">
        <v>141</v>
      </c>
      <c r="K8" s="5">
        <v>26</v>
      </c>
      <c r="L8" s="5">
        <v>2</v>
      </c>
      <c r="M8" s="5">
        <v>10</v>
      </c>
      <c r="N8" s="5">
        <v>24</v>
      </c>
      <c r="O8" s="5">
        <v>9</v>
      </c>
      <c r="P8" s="5">
        <v>364</v>
      </c>
      <c r="Q8" s="5">
        <v>29</v>
      </c>
      <c r="R8" s="5">
        <v>11</v>
      </c>
      <c r="S8" s="5">
        <v>24</v>
      </c>
      <c r="T8" s="5">
        <v>1</v>
      </c>
      <c r="U8" s="6">
        <f t="shared" si="0"/>
        <v>654</v>
      </c>
      <c r="V8" s="5">
        <v>34</v>
      </c>
    </row>
    <row r="9" spans="1:22" ht="21" customHeight="1" x14ac:dyDescent="0.3">
      <c r="A9" s="17" t="s">
        <v>36</v>
      </c>
      <c r="B9" s="4">
        <v>803</v>
      </c>
      <c r="C9" s="4">
        <v>6</v>
      </c>
      <c r="D9" s="5">
        <v>145</v>
      </c>
      <c r="E9" s="5">
        <v>391</v>
      </c>
      <c r="F9" s="18">
        <v>485</v>
      </c>
      <c r="G9" s="5">
        <v>700</v>
      </c>
      <c r="H9" s="5">
        <v>6</v>
      </c>
      <c r="I9" s="5">
        <v>5</v>
      </c>
      <c r="J9" s="5">
        <v>121</v>
      </c>
      <c r="K9" s="5">
        <v>19</v>
      </c>
      <c r="L9" s="5"/>
      <c r="M9" s="5">
        <v>3</v>
      </c>
      <c r="N9" s="5">
        <v>3</v>
      </c>
      <c r="O9" s="5">
        <v>13</v>
      </c>
      <c r="P9" s="5">
        <v>266</v>
      </c>
      <c r="Q9" s="5">
        <v>8</v>
      </c>
      <c r="R9" s="5">
        <v>7</v>
      </c>
      <c r="S9" s="5">
        <v>4</v>
      </c>
      <c r="T9" s="5"/>
      <c r="U9" s="6">
        <f t="shared" si="0"/>
        <v>455</v>
      </c>
      <c r="V9" s="5">
        <v>27</v>
      </c>
    </row>
    <row r="10" spans="1:22" ht="21" customHeight="1" x14ac:dyDescent="0.3">
      <c r="A10" s="17" t="s">
        <v>37</v>
      </c>
      <c r="B10" s="4">
        <v>1301</v>
      </c>
      <c r="C10" s="4">
        <v>8</v>
      </c>
      <c r="D10" s="5">
        <v>198</v>
      </c>
      <c r="E10" s="5">
        <v>544</v>
      </c>
      <c r="F10" s="18">
        <v>784</v>
      </c>
      <c r="G10" s="5">
        <v>1200</v>
      </c>
      <c r="H10" s="5">
        <v>21</v>
      </c>
      <c r="I10" s="5">
        <v>7</v>
      </c>
      <c r="J10" s="5">
        <v>197</v>
      </c>
      <c r="K10" s="5">
        <v>41</v>
      </c>
      <c r="L10" s="5">
        <v>3</v>
      </c>
      <c r="M10" s="5">
        <v>137</v>
      </c>
      <c r="N10" s="5">
        <v>6</v>
      </c>
      <c r="O10" s="5">
        <v>6</v>
      </c>
      <c r="P10" s="5">
        <v>286</v>
      </c>
      <c r="Q10" s="5">
        <v>10</v>
      </c>
      <c r="R10" s="5">
        <v>6</v>
      </c>
      <c r="S10" s="5">
        <v>18</v>
      </c>
      <c r="T10" s="5">
        <v>1</v>
      </c>
      <c r="U10" s="6">
        <f t="shared" si="0"/>
        <v>739</v>
      </c>
      <c r="V10" s="5">
        <v>34</v>
      </c>
    </row>
    <row r="11" spans="1:22" ht="21" customHeight="1" x14ac:dyDescent="0.3">
      <c r="A11" s="17" t="s">
        <v>38</v>
      </c>
      <c r="B11" s="4">
        <v>1381</v>
      </c>
      <c r="C11" s="4">
        <v>5</v>
      </c>
      <c r="D11" s="5">
        <v>242</v>
      </c>
      <c r="E11" s="5">
        <v>646</v>
      </c>
      <c r="F11" s="18">
        <v>874</v>
      </c>
      <c r="G11" s="5">
        <v>1300</v>
      </c>
      <c r="H11" s="5">
        <v>34</v>
      </c>
      <c r="I11" s="5">
        <v>5</v>
      </c>
      <c r="J11" s="5">
        <v>261</v>
      </c>
      <c r="K11" s="5">
        <v>38</v>
      </c>
      <c r="L11" s="5">
        <v>2</v>
      </c>
      <c r="M11" s="5">
        <v>92</v>
      </c>
      <c r="N11" s="5">
        <v>1</v>
      </c>
      <c r="O11" s="5">
        <v>1</v>
      </c>
      <c r="P11" s="5">
        <v>357</v>
      </c>
      <c r="Q11" s="5">
        <v>14</v>
      </c>
      <c r="R11" s="5">
        <v>5</v>
      </c>
      <c r="S11" s="5">
        <v>8</v>
      </c>
      <c r="T11" s="5">
        <v>5</v>
      </c>
      <c r="U11" s="6">
        <f t="shared" si="0"/>
        <v>823</v>
      </c>
      <c r="V11" s="5">
        <v>46</v>
      </c>
    </row>
    <row r="12" spans="1:22" ht="21" customHeight="1" x14ac:dyDescent="0.3">
      <c r="A12" s="17" t="s">
        <v>39</v>
      </c>
      <c r="B12" s="4">
        <v>1225</v>
      </c>
      <c r="C12" s="4">
        <v>6</v>
      </c>
      <c r="D12" s="5">
        <v>268</v>
      </c>
      <c r="E12" s="5">
        <v>670</v>
      </c>
      <c r="F12" s="18">
        <v>816</v>
      </c>
      <c r="G12" s="5">
        <v>1100</v>
      </c>
      <c r="H12" s="5">
        <v>18</v>
      </c>
      <c r="I12" s="5">
        <v>6</v>
      </c>
      <c r="J12" s="5">
        <v>444</v>
      </c>
      <c r="K12" s="5">
        <v>20</v>
      </c>
      <c r="L12" s="5">
        <v>2</v>
      </c>
      <c r="M12" s="5"/>
      <c r="N12" s="5"/>
      <c r="O12" s="5"/>
      <c r="P12" s="5">
        <v>313</v>
      </c>
      <c r="Q12" s="5"/>
      <c r="R12" s="5">
        <v>12</v>
      </c>
      <c r="S12" s="5"/>
      <c r="T12" s="5"/>
      <c r="U12" s="6">
        <f t="shared" si="0"/>
        <v>815</v>
      </c>
      <c r="V12" s="5">
        <v>1</v>
      </c>
    </row>
    <row r="13" spans="1:22" ht="21" customHeight="1" x14ac:dyDescent="0.3">
      <c r="A13" s="17" t="s">
        <v>40</v>
      </c>
      <c r="B13" s="4">
        <v>1560</v>
      </c>
      <c r="C13" s="4">
        <v>2</v>
      </c>
      <c r="D13" s="5">
        <v>281</v>
      </c>
      <c r="E13" s="5">
        <v>714</v>
      </c>
      <c r="F13" s="18">
        <v>1102</v>
      </c>
      <c r="G13" s="5">
        <v>1450</v>
      </c>
      <c r="H13" s="5">
        <v>50</v>
      </c>
      <c r="I13" s="5">
        <v>6</v>
      </c>
      <c r="J13" s="5">
        <v>564</v>
      </c>
      <c r="K13" s="5">
        <v>17</v>
      </c>
      <c r="L13" s="5">
        <v>5</v>
      </c>
      <c r="M13" s="5">
        <v>1</v>
      </c>
      <c r="N13" s="5">
        <v>5</v>
      </c>
      <c r="O13" s="5">
        <v>1</v>
      </c>
      <c r="P13" s="5">
        <v>406</v>
      </c>
      <c r="Q13" s="5">
        <v>1</v>
      </c>
      <c r="R13" s="5">
        <v>4</v>
      </c>
      <c r="S13" s="5">
        <v>6</v>
      </c>
      <c r="T13" s="5">
        <v>1</v>
      </c>
      <c r="U13" s="6">
        <f t="shared" si="0"/>
        <v>1067</v>
      </c>
      <c r="V13" s="5">
        <v>32</v>
      </c>
    </row>
    <row r="14" spans="1:22" ht="21" customHeight="1" x14ac:dyDescent="0.3">
      <c r="A14" s="17" t="s">
        <v>41</v>
      </c>
      <c r="B14" s="4">
        <v>992</v>
      </c>
      <c r="C14" s="4">
        <v>4</v>
      </c>
      <c r="D14" s="5">
        <v>140</v>
      </c>
      <c r="E14" s="5">
        <v>420</v>
      </c>
      <c r="F14" s="18">
        <v>607</v>
      </c>
      <c r="G14" s="5">
        <v>900</v>
      </c>
      <c r="H14" s="5">
        <v>8</v>
      </c>
      <c r="I14" s="5">
        <v>5</v>
      </c>
      <c r="J14" s="5">
        <v>245</v>
      </c>
      <c r="K14" s="5">
        <v>19</v>
      </c>
      <c r="L14" s="5">
        <v>1</v>
      </c>
      <c r="M14" s="5">
        <v>1</v>
      </c>
      <c r="N14" s="5">
        <v>2</v>
      </c>
      <c r="O14" s="5">
        <v>1</v>
      </c>
      <c r="P14" s="5">
        <v>272</v>
      </c>
      <c r="Q14" s="5">
        <v>1</v>
      </c>
      <c r="R14" s="5">
        <v>4</v>
      </c>
      <c r="S14" s="5">
        <v>12</v>
      </c>
      <c r="T14" s="5">
        <v>12</v>
      </c>
      <c r="U14" s="6">
        <f t="shared" si="0"/>
        <v>583</v>
      </c>
      <c r="V14" s="5">
        <v>23</v>
      </c>
    </row>
    <row r="15" spans="1:22" ht="21" customHeight="1" x14ac:dyDescent="0.3">
      <c r="A15" s="17" t="s">
        <v>42</v>
      </c>
      <c r="B15" s="4">
        <v>1325</v>
      </c>
      <c r="C15" s="4">
        <v>8</v>
      </c>
      <c r="D15" s="5">
        <v>232</v>
      </c>
      <c r="E15" s="5">
        <v>360</v>
      </c>
      <c r="F15" s="18">
        <v>752</v>
      </c>
      <c r="G15" s="5">
        <v>1200</v>
      </c>
      <c r="H15" s="5">
        <v>9</v>
      </c>
      <c r="I15" s="5">
        <v>9</v>
      </c>
      <c r="J15" s="5">
        <v>305</v>
      </c>
      <c r="K15" s="5">
        <v>27</v>
      </c>
      <c r="L15" s="5">
        <v>7</v>
      </c>
      <c r="M15" s="5"/>
      <c r="N15" s="5">
        <v>4</v>
      </c>
      <c r="O15" s="5"/>
      <c r="P15" s="5">
        <v>317</v>
      </c>
      <c r="Q15" s="5">
        <v>5</v>
      </c>
      <c r="R15" s="5">
        <v>3</v>
      </c>
      <c r="S15" s="5">
        <v>21</v>
      </c>
      <c r="T15" s="5">
        <v>5</v>
      </c>
      <c r="U15" s="6">
        <f t="shared" si="0"/>
        <v>712</v>
      </c>
      <c r="V15" s="5">
        <v>38</v>
      </c>
    </row>
    <row r="16" spans="1:22" ht="21" customHeight="1" x14ac:dyDescent="0.3">
      <c r="A16" s="17" t="s">
        <v>43</v>
      </c>
      <c r="B16" s="4">
        <v>1551</v>
      </c>
      <c r="C16" s="4">
        <v>9</v>
      </c>
      <c r="D16" s="5">
        <v>280</v>
      </c>
      <c r="E16" s="5">
        <v>692</v>
      </c>
      <c r="F16" s="18">
        <v>858</v>
      </c>
      <c r="G16" s="5">
        <v>1450</v>
      </c>
      <c r="H16" s="5">
        <v>18</v>
      </c>
      <c r="I16" s="5">
        <v>8</v>
      </c>
      <c r="J16" s="5">
        <v>381</v>
      </c>
      <c r="K16" s="5">
        <v>33</v>
      </c>
      <c r="L16" s="5">
        <v>3</v>
      </c>
      <c r="M16" s="5">
        <v>4</v>
      </c>
      <c r="N16" s="5">
        <v>4</v>
      </c>
      <c r="O16" s="5">
        <v>3</v>
      </c>
      <c r="P16" s="5">
        <v>314</v>
      </c>
      <c r="Q16" s="5">
        <v>7</v>
      </c>
      <c r="R16" s="5">
        <v>7</v>
      </c>
      <c r="S16" s="5">
        <v>22</v>
      </c>
      <c r="T16" s="5">
        <v>16</v>
      </c>
      <c r="U16" s="6">
        <f t="shared" si="0"/>
        <v>820</v>
      </c>
      <c r="V16" s="5">
        <v>37</v>
      </c>
    </row>
    <row r="17" spans="1:22" ht="21" customHeight="1" x14ac:dyDescent="0.3">
      <c r="A17" s="17" t="s">
        <v>44</v>
      </c>
      <c r="B17" s="4">
        <v>285</v>
      </c>
      <c r="C17" s="4">
        <v>10</v>
      </c>
      <c r="D17" s="5">
        <v>63</v>
      </c>
      <c r="E17" s="5">
        <v>152</v>
      </c>
      <c r="F17" s="18">
        <v>187</v>
      </c>
      <c r="G17" s="5">
        <v>300</v>
      </c>
      <c r="H17" s="5">
        <v>4</v>
      </c>
      <c r="I17" s="5">
        <v>2</v>
      </c>
      <c r="J17" s="5">
        <v>83</v>
      </c>
      <c r="K17" s="5">
        <v>2</v>
      </c>
      <c r="L17" s="5">
        <v>1</v>
      </c>
      <c r="M17" s="5"/>
      <c r="N17" s="5">
        <v>1</v>
      </c>
      <c r="O17" s="5">
        <v>2</v>
      </c>
      <c r="P17" s="5">
        <v>68</v>
      </c>
      <c r="Q17" s="5"/>
      <c r="R17" s="5">
        <v>2</v>
      </c>
      <c r="S17" s="5">
        <v>1</v>
      </c>
      <c r="T17" s="5">
        <v>4</v>
      </c>
      <c r="U17" s="6">
        <f t="shared" si="0"/>
        <v>170</v>
      </c>
      <c r="V17" s="5">
        <v>8</v>
      </c>
    </row>
    <row r="18" spans="1:22" ht="21" customHeight="1" x14ac:dyDescent="0.3">
      <c r="A18" s="17" t="s">
        <v>45</v>
      </c>
      <c r="B18" s="4">
        <v>1264</v>
      </c>
      <c r="C18" s="4">
        <v>3</v>
      </c>
      <c r="D18" s="5">
        <v>238</v>
      </c>
      <c r="E18" s="5">
        <v>634</v>
      </c>
      <c r="F18" s="18">
        <v>829</v>
      </c>
      <c r="G18" s="5">
        <v>1150</v>
      </c>
      <c r="H18" s="5">
        <v>15</v>
      </c>
      <c r="I18" s="5">
        <v>4</v>
      </c>
      <c r="J18" s="5">
        <v>424</v>
      </c>
      <c r="K18" s="5">
        <v>17</v>
      </c>
      <c r="L18" s="5">
        <v>3</v>
      </c>
      <c r="M18" s="5">
        <v>1</v>
      </c>
      <c r="N18" s="5"/>
      <c r="O18" s="5">
        <v>2</v>
      </c>
      <c r="P18" s="5">
        <v>328</v>
      </c>
      <c r="Q18" s="5">
        <v>1</v>
      </c>
      <c r="R18" s="5"/>
      <c r="S18" s="5">
        <v>10</v>
      </c>
      <c r="T18" s="5">
        <v>4</v>
      </c>
      <c r="U18" s="6">
        <f t="shared" si="0"/>
        <v>809</v>
      </c>
      <c r="V18" s="5">
        <v>16</v>
      </c>
    </row>
    <row r="19" spans="1:22" ht="21" customHeight="1" x14ac:dyDescent="0.3">
      <c r="A19" s="17" t="s">
        <v>46</v>
      </c>
      <c r="B19" s="4">
        <v>662</v>
      </c>
      <c r="C19" s="4">
        <v>6</v>
      </c>
      <c r="D19" s="5">
        <v>120</v>
      </c>
      <c r="E19" s="5">
        <v>338</v>
      </c>
      <c r="F19" s="18">
        <v>442</v>
      </c>
      <c r="G19" s="5">
        <v>600</v>
      </c>
      <c r="H19" s="5">
        <v>2</v>
      </c>
      <c r="I19" s="5">
        <v>2</v>
      </c>
      <c r="J19" s="5">
        <v>246</v>
      </c>
      <c r="K19" s="5">
        <v>11</v>
      </c>
      <c r="L19" s="5"/>
      <c r="M19" s="5"/>
      <c r="N19" s="5"/>
      <c r="O19" s="5"/>
      <c r="P19" s="5">
        <v>139</v>
      </c>
      <c r="Q19" s="5"/>
      <c r="R19" s="5"/>
      <c r="S19" s="5"/>
      <c r="T19" s="5">
        <v>23</v>
      </c>
      <c r="U19" s="6">
        <f t="shared" si="0"/>
        <v>423</v>
      </c>
      <c r="V19" s="5">
        <v>19</v>
      </c>
    </row>
    <row r="20" spans="1:22" ht="21" customHeight="1" x14ac:dyDescent="0.3">
      <c r="A20" s="17" t="s">
        <v>47</v>
      </c>
      <c r="B20" s="4">
        <v>1332</v>
      </c>
      <c r="C20" s="4">
        <v>6</v>
      </c>
      <c r="D20" s="5">
        <v>317</v>
      </c>
      <c r="E20" s="5">
        <v>760</v>
      </c>
      <c r="F20" s="18">
        <v>882</v>
      </c>
      <c r="G20" s="5">
        <v>1200</v>
      </c>
      <c r="H20" s="5">
        <v>12</v>
      </c>
      <c r="I20" s="5">
        <v>5</v>
      </c>
      <c r="J20" s="5">
        <v>238</v>
      </c>
      <c r="K20" s="5">
        <v>30</v>
      </c>
      <c r="L20" s="5">
        <v>3</v>
      </c>
      <c r="M20" s="5">
        <v>18</v>
      </c>
      <c r="N20" s="5">
        <v>6</v>
      </c>
      <c r="O20" s="5">
        <v>3</v>
      </c>
      <c r="P20" s="5">
        <v>494</v>
      </c>
      <c r="Q20" s="5">
        <v>8</v>
      </c>
      <c r="R20" s="5">
        <v>6</v>
      </c>
      <c r="S20" s="5">
        <v>13</v>
      </c>
      <c r="T20" s="5">
        <v>4</v>
      </c>
      <c r="U20" s="6">
        <f t="shared" si="0"/>
        <v>840</v>
      </c>
      <c r="V20" s="5">
        <v>32</v>
      </c>
    </row>
    <row r="21" spans="1:22" ht="21" customHeight="1" x14ac:dyDescent="0.3">
      <c r="A21" s="17" t="s">
        <v>48</v>
      </c>
      <c r="B21" s="4">
        <v>1157</v>
      </c>
      <c r="C21" s="4">
        <v>3</v>
      </c>
      <c r="D21" s="5">
        <v>220</v>
      </c>
      <c r="E21" s="5">
        <v>629</v>
      </c>
      <c r="F21" s="18">
        <v>818</v>
      </c>
      <c r="G21" s="5">
        <v>1050</v>
      </c>
      <c r="H21" s="5">
        <v>8</v>
      </c>
      <c r="I21" s="5">
        <v>1</v>
      </c>
      <c r="J21" s="5">
        <v>283</v>
      </c>
      <c r="K21" s="5">
        <v>10</v>
      </c>
      <c r="L21" s="5">
        <v>2</v>
      </c>
      <c r="M21" s="5">
        <v>4</v>
      </c>
      <c r="N21" s="5">
        <v>1</v>
      </c>
      <c r="O21" s="5">
        <v>1</v>
      </c>
      <c r="P21" s="5">
        <v>466</v>
      </c>
      <c r="Q21" s="5">
        <v>3</v>
      </c>
      <c r="R21" s="5">
        <v>2</v>
      </c>
      <c r="S21" s="5">
        <v>8</v>
      </c>
      <c r="T21" s="5">
        <v>2</v>
      </c>
      <c r="U21" s="6">
        <f t="shared" si="0"/>
        <v>791</v>
      </c>
      <c r="V21" s="5">
        <v>27</v>
      </c>
    </row>
    <row r="22" spans="1:22" ht="21" customHeight="1" x14ac:dyDescent="0.3">
      <c r="A22" s="17" t="s">
        <v>49</v>
      </c>
      <c r="B22" s="4">
        <v>1556</v>
      </c>
      <c r="C22" s="4">
        <v>8</v>
      </c>
      <c r="D22" s="5">
        <v>279</v>
      </c>
      <c r="E22" s="5">
        <v>654</v>
      </c>
      <c r="F22" s="18">
        <v>833</v>
      </c>
      <c r="G22" s="5">
        <v>1400</v>
      </c>
      <c r="H22" s="5">
        <v>7</v>
      </c>
      <c r="I22" s="5">
        <v>3</v>
      </c>
      <c r="J22" s="5">
        <v>310</v>
      </c>
      <c r="K22" s="5">
        <v>32</v>
      </c>
      <c r="L22" s="5">
        <v>1</v>
      </c>
      <c r="M22" s="5">
        <v>1</v>
      </c>
      <c r="N22" s="5">
        <v>2</v>
      </c>
      <c r="O22" s="5">
        <v>3</v>
      </c>
      <c r="P22" s="5">
        <v>399</v>
      </c>
      <c r="Q22" s="5">
        <v>13</v>
      </c>
      <c r="R22" s="5">
        <v>5</v>
      </c>
      <c r="S22" s="5">
        <v>17</v>
      </c>
      <c r="T22" s="5">
        <v>2</v>
      </c>
      <c r="U22" s="6">
        <f t="shared" si="0"/>
        <v>795</v>
      </c>
      <c r="V22" s="5">
        <v>35</v>
      </c>
    </row>
    <row r="23" spans="1:22" ht="21" customHeight="1" x14ac:dyDescent="0.3">
      <c r="A23" s="17" t="s">
        <v>50</v>
      </c>
      <c r="B23" s="4">
        <v>1251</v>
      </c>
      <c r="C23" s="4">
        <v>3</v>
      </c>
      <c r="D23" s="5">
        <v>250</v>
      </c>
      <c r="E23" s="5">
        <v>574</v>
      </c>
      <c r="F23" s="18">
        <v>715</v>
      </c>
      <c r="G23" s="5">
        <v>1100</v>
      </c>
      <c r="H23" s="5">
        <v>11</v>
      </c>
      <c r="I23" s="5">
        <v>5</v>
      </c>
      <c r="J23" s="5">
        <v>178</v>
      </c>
      <c r="K23" s="5">
        <v>37</v>
      </c>
      <c r="L23" s="5">
        <v>3</v>
      </c>
      <c r="M23" s="5">
        <v>3</v>
      </c>
      <c r="N23" s="5">
        <v>4</v>
      </c>
      <c r="O23" s="5">
        <v>1</v>
      </c>
      <c r="P23" s="5">
        <v>414</v>
      </c>
      <c r="Q23" s="5">
        <v>16</v>
      </c>
      <c r="R23" s="5">
        <v>4</v>
      </c>
      <c r="S23" s="5">
        <v>15</v>
      </c>
      <c r="T23" s="5">
        <v>1</v>
      </c>
      <c r="U23" s="6">
        <f t="shared" si="0"/>
        <v>692</v>
      </c>
      <c r="V23" s="5">
        <v>23</v>
      </c>
    </row>
    <row r="24" spans="1:22" ht="21" customHeight="1" x14ac:dyDescent="0.3">
      <c r="A24" s="17" t="s">
        <v>51</v>
      </c>
      <c r="B24" s="4">
        <v>1320</v>
      </c>
      <c r="C24" s="4">
        <v>3</v>
      </c>
      <c r="D24" s="5">
        <v>215</v>
      </c>
      <c r="E24" s="5">
        <v>605</v>
      </c>
      <c r="F24" s="18">
        <v>890</v>
      </c>
      <c r="G24" s="5">
        <v>1200</v>
      </c>
      <c r="H24" s="5">
        <v>8</v>
      </c>
      <c r="I24" s="5">
        <v>10</v>
      </c>
      <c r="J24" s="5">
        <v>365</v>
      </c>
      <c r="K24" s="5">
        <v>19</v>
      </c>
      <c r="L24" s="5"/>
      <c r="M24" s="5">
        <v>8</v>
      </c>
      <c r="N24" s="5">
        <v>4</v>
      </c>
      <c r="O24" s="5">
        <v>5</v>
      </c>
      <c r="P24" s="5">
        <v>416</v>
      </c>
      <c r="Q24" s="5">
        <v>10</v>
      </c>
      <c r="R24" s="5">
        <v>2</v>
      </c>
      <c r="S24" s="5">
        <v>11</v>
      </c>
      <c r="T24" s="5">
        <v>1</v>
      </c>
      <c r="U24" s="6">
        <f t="shared" si="0"/>
        <v>859</v>
      </c>
      <c r="V24" s="5">
        <v>31</v>
      </c>
    </row>
    <row r="25" spans="1:22" ht="21" customHeight="1" x14ac:dyDescent="0.3">
      <c r="A25" s="17" t="s">
        <v>52</v>
      </c>
      <c r="B25" s="4">
        <v>1185</v>
      </c>
      <c r="C25" s="4">
        <v>7</v>
      </c>
      <c r="D25" s="5">
        <v>252</v>
      </c>
      <c r="E25" s="5">
        <v>480</v>
      </c>
      <c r="F25" s="18">
        <v>625</v>
      </c>
      <c r="G25" s="5">
        <v>1000</v>
      </c>
      <c r="H25" s="5">
        <v>9</v>
      </c>
      <c r="I25" s="5">
        <v>4</v>
      </c>
      <c r="J25" s="5">
        <v>256</v>
      </c>
      <c r="K25" s="5">
        <v>23</v>
      </c>
      <c r="L25" s="5">
        <v>1</v>
      </c>
      <c r="M25" s="5">
        <v>2</v>
      </c>
      <c r="N25" s="5">
        <v>1</v>
      </c>
      <c r="O25" s="5">
        <v>1</v>
      </c>
      <c r="P25" s="5">
        <v>300</v>
      </c>
      <c r="Q25" s="5"/>
      <c r="R25" s="5"/>
      <c r="S25" s="5">
        <v>1</v>
      </c>
      <c r="T25" s="5"/>
      <c r="U25" s="6">
        <f t="shared" si="0"/>
        <v>598</v>
      </c>
      <c r="V25" s="5">
        <v>24</v>
      </c>
    </row>
    <row r="26" spans="1:22" ht="21" customHeight="1" x14ac:dyDescent="0.3">
      <c r="A26" s="17" t="s">
        <v>53</v>
      </c>
      <c r="B26" s="4">
        <v>725</v>
      </c>
      <c r="C26" s="4">
        <v>4</v>
      </c>
      <c r="D26" s="5">
        <v>140</v>
      </c>
      <c r="E26" s="5">
        <v>350</v>
      </c>
      <c r="F26" s="18">
        <v>499</v>
      </c>
      <c r="G26" s="5">
        <v>650</v>
      </c>
      <c r="H26" s="5">
        <v>19</v>
      </c>
      <c r="I26" s="5">
        <v>1</v>
      </c>
      <c r="J26" s="5">
        <v>170</v>
      </c>
      <c r="K26" s="5">
        <v>7</v>
      </c>
      <c r="L26" s="5">
        <v>1</v>
      </c>
      <c r="M26" s="5">
        <v>2</v>
      </c>
      <c r="N26" s="5">
        <v>1</v>
      </c>
      <c r="O26" s="5">
        <v>1</v>
      </c>
      <c r="P26" s="5">
        <v>270</v>
      </c>
      <c r="Q26" s="5">
        <v>1</v>
      </c>
      <c r="R26" s="5"/>
      <c r="S26" s="5">
        <v>5</v>
      </c>
      <c r="T26" s="5"/>
      <c r="U26" s="6">
        <f t="shared" si="0"/>
        <v>478</v>
      </c>
      <c r="V26" s="5">
        <v>17</v>
      </c>
    </row>
    <row r="27" spans="1:22" ht="21" customHeight="1" x14ac:dyDescent="0.3">
      <c r="A27" s="17" t="s">
        <v>54</v>
      </c>
      <c r="B27" s="4">
        <v>1135</v>
      </c>
      <c r="C27" s="4">
        <v>8</v>
      </c>
      <c r="D27" s="5">
        <v>205</v>
      </c>
      <c r="E27" s="5">
        <v>530</v>
      </c>
      <c r="F27" s="18">
        <v>694</v>
      </c>
      <c r="G27" s="5">
        <v>1000</v>
      </c>
      <c r="H27" s="5">
        <v>20</v>
      </c>
      <c r="I27" s="5">
        <v>1</v>
      </c>
      <c r="J27" s="5">
        <v>194</v>
      </c>
      <c r="K27" s="5">
        <v>16</v>
      </c>
      <c r="L27" s="5">
        <v>1</v>
      </c>
      <c r="M27" s="5">
        <v>3</v>
      </c>
      <c r="N27" s="5">
        <v>1</v>
      </c>
      <c r="O27" s="5">
        <v>4</v>
      </c>
      <c r="P27" s="5">
        <v>406</v>
      </c>
      <c r="Q27" s="5">
        <v>2</v>
      </c>
      <c r="R27" s="5"/>
      <c r="S27" s="5">
        <v>6</v>
      </c>
      <c r="T27" s="5">
        <v>3</v>
      </c>
      <c r="U27" s="6">
        <f t="shared" si="0"/>
        <v>657</v>
      </c>
      <c r="V27" s="5">
        <v>37</v>
      </c>
    </row>
    <row r="28" spans="1:22" ht="21" customHeight="1" x14ac:dyDescent="0.3">
      <c r="A28" s="17" t="s">
        <v>55</v>
      </c>
      <c r="B28" s="4">
        <v>1569</v>
      </c>
      <c r="C28" s="4">
        <v>4</v>
      </c>
      <c r="D28" s="5">
        <v>307</v>
      </c>
      <c r="E28" s="5">
        <v>700</v>
      </c>
      <c r="F28" s="18">
        <v>934</v>
      </c>
      <c r="G28" s="5">
        <v>1400</v>
      </c>
      <c r="H28" s="5">
        <v>29</v>
      </c>
      <c r="I28" s="5">
        <v>7</v>
      </c>
      <c r="J28" s="5">
        <v>266</v>
      </c>
      <c r="K28" s="5">
        <v>24</v>
      </c>
      <c r="L28" s="5">
        <v>33</v>
      </c>
      <c r="M28" s="5">
        <v>3</v>
      </c>
      <c r="N28" s="5">
        <v>7</v>
      </c>
      <c r="O28" s="5">
        <v>6</v>
      </c>
      <c r="P28" s="5">
        <v>488</v>
      </c>
      <c r="Q28" s="5">
        <v>4</v>
      </c>
      <c r="R28" s="5">
        <v>9</v>
      </c>
      <c r="S28" s="5">
        <v>8</v>
      </c>
      <c r="T28" s="5">
        <v>1</v>
      </c>
      <c r="U28" s="6">
        <f t="shared" si="0"/>
        <v>885</v>
      </c>
      <c r="V28" s="5">
        <v>48</v>
      </c>
    </row>
    <row r="29" spans="1:22" ht="21" customHeight="1" x14ac:dyDescent="0.3">
      <c r="A29" s="17" t="s">
        <v>56</v>
      </c>
      <c r="B29" s="4">
        <v>497</v>
      </c>
      <c r="C29" s="4">
        <v>6</v>
      </c>
      <c r="D29" s="5">
        <v>87</v>
      </c>
      <c r="E29" s="5">
        <v>233</v>
      </c>
      <c r="F29" s="18">
        <v>296</v>
      </c>
      <c r="G29" s="5">
        <v>450</v>
      </c>
      <c r="H29" s="5">
        <v>6</v>
      </c>
      <c r="I29" s="5">
        <v>5</v>
      </c>
      <c r="J29" s="5">
        <v>83</v>
      </c>
      <c r="K29" s="5">
        <v>5</v>
      </c>
      <c r="L29" s="5">
        <v>3</v>
      </c>
      <c r="M29" s="5">
        <v>1</v>
      </c>
      <c r="N29" s="5"/>
      <c r="O29" s="5"/>
      <c r="P29" s="5">
        <v>177</v>
      </c>
      <c r="Q29" s="5">
        <v>4</v>
      </c>
      <c r="R29" s="5"/>
      <c r="S29" s="5">
        <v>1</v>
      </c>
      <c r="T29" s="5">
        <v>1</v>
      </c>
      <c r="U29" s="6">
        <f t="shared" si="0"/>
        <v>286</v>
      </c>
      <c r="V29" s="5">
        <v>9</v>
      </c>
    </row>
    <row r="30" spans="1:22" ht="21" customHeight="1" x14ac:dyDescent="0.3">
      <c r="A30" s="17" t="s">
        <v>57</v>
      </c>
      <c r="B30" s="4">
        <v>1522</v>
      </c>
      <c r="C30" s="4">
        <v>9</v>
      </c>
      <c r="D30" s="5">
        <v>250</v>
      </c>
      <c r="E30" s="5">
        <v>673</v>
      </c>
      <c r="F30" s="18">
        <v>849</v>
      </c>
      <c r="G30" s="5">
        <v>1400</v>
      </c>
      <c r="H30" s="5">
        <v>7</v>
      </c>
      <c r="I30" s="5">
        <v>13</v>
      </c>
      <c r="J30" s="5">
        <v>203</v>
      </c>
      <c r="K30" s="5">
        <v>10</v>
      </c>
      <c r="L30" s="5"/>
      <c r="M30" s="5"/>
      <c r="N30" s="5">
        <v>1</v>
      </c>
      <c r="O30" s="5">
        <v>6</v>
      </c>
      <c r="P30" s="5">
        <v>547</v>
      </c>
      <c r="Q30" s="5">
        <v>3</v>
      </c>
      <c r="R30" s="5">
        <v>2</v>
      </c>
      <c r="S30" s="5">
        <v>27</v>
      </c>
      <c r="T30" s="5"/>
      <c r="U30" s="6">
        <f t="shared" si="0"/>
        <v>819</v>
      </c>
      <c r="V30" s="5">
        <v>24</v>
      </c>
    </row>
    <row r="31" spans="1:22" ht="21" customHeight="1" x14ac:dyDescent="0.3">
      <c r="A31" s="17" t="s">
        <v>58</v>
      </c>
      <c r="B31" s="4">
        <v>838</v>
      </c>
      <c r="C31" s="4">
        <v>5</v>
      </c>
      <c r="D31" s="5">
        <v>136</v>
      </c>
      <c r="E31" s="5">
        <v>370</v>
      </c>
      <c r="F31" s="18">
        <v>484</v>
      </c>
      <c r="G31" s="5">
        <v>750</v>
      </c>
      <c r="H31" s="5">
        <v>17</v>
      </c>
      <c r="I31" s="5">
        <v>5</v>
      </c>
      <c r="J31" s="5">
        <v>152</v>
      </c>
      <c r="K31" s="5">
        <v>15</v>
      </c>
      <c r="L31" s="5">
        <v>2</v>
      </c>
      <c r="M31" s="5"/>
      <c r="N31" s="5">
        <v>1</v>
      </c>
      <c r="O31" s="5">
        <v>2</v>
      </c>
      <c r="P31" s="5">
        <v>256</v>
      </c>
      <c r="Q31" s="5">
        <v>2</v>
      </c>
      <c r="R31" s="5">
        <v>2</v>
      </c>
      <c r="S31" s="5">
        <v>7</v>
      </c>
      <c r="T31" s="5"/>
      <c r="U31" s="6">
        <f t="shared" si="0"/>
        <v>461</v>
      </c>
      <c r="V31" s="5">
        <v>21</v>
      </c>
    </row>
    <row r="32" spans="1:22" ht="21" customHeight="1" x14ac:dyDescent="0.3">
      <c r="A32" s="17" t="s">
        <v>59</v>
      </c>
      <c r="B32" s="4">
        <v>950</v>
      </c>
      <c r="C32" s="4">
        <v>7</v>
      </c>
      <c r="D32" s="5">
        <v>184</v>
      </c>
      <c r="E32" s="5">
        <v>467</v>
      </c>
      <c r="F32" s="18">
        <v>647</v>
      </c>
      <c r="G32" s="5">
        <v>850</v>
      </c>
      <c r="H32" s="5">
        <v>4</v>
      </c>
      <c r="I32" s="5">
        <v>8</v>
      </c>
      <c r="J32" s="5">
        <v>222</v>
      </c>
      <c r="K32" s="5">
        <v>23</v>
      </c>
      <c r="L32" s="5">
        <v>3</v>
      </c>
      <c r="M32" s="5">
        <v>2</v>
      </c>
      <c r="N32" s="5">
        <v>3</v>
      </c>
      <c r="O32" s="5">
        <v>1</v>
      </c>
      <c r="P32" s="5">
        <v>339</v>
      </c>
      <c r="Q32" s="5">
        <v>3</v>
      </c>
      <c r="R32" s="5">
        <v>4</v>
      </c>
      <c r="S32" s="5">
        <v>9</v>
      </c>
      <c r="T32" s="5">
        <v>1</v>
      </c>
      <c r="U32" s="6">
        <f t="shared" si="0"/>
        <v>622</v>
      </c>
      <c r="V32" s="5">
        <v>22</v>
      </c>
    </row>
    <row r="33" spans="1:22" ht="21" customHeight="1" x14ac:dyDescent="0.3">
      <c r="A33" s="17" t="s">
        <v>60</v>
      </c>
      <c r="B33" s="4">
        <v>1287</v>
      </c>
      <c r="C33" s="4">
        <v>6</v>
      </c>
      <c r="D33" s="5">
        <v>180</v>
      </c>
      <c r="E33" s="5">
        <v>604</v>
      </c>
      <c r="F33" s="18">
        <v>832</v>
      </c>
      <c r="G33" s="5">
        <v>1150</v>
      </c>
      <c r="H33" s="5">
        <v>7</v>
      </c>
      <c r="I33" s="5">
        <v>46</v>
      </c>
      <c r="J33" s="5">
        <v>292</v>
      </c>
      <c r="K33" s="5">
        <v>28</v>
      </c>
      <c r="L33" s="5">
        <v>1</v>
      </c>
      <c r="M33" s="5">
        <v>14</v>
      </c>
      <c r="N33" s="5">
        <v>3</v>
      </c>
      <c r="O33" s="5">
        <v>3</v>
      </c>
      <c r="P33" s="5">
        <v>362</v>
      </c>
      <c r="Q33" s="5">
        <v>7</v>
      </c>
      <c r="R33" s="5">
        <v>3</v>
      </c>
      <c r="S33" s="5">
        <v>30</v>
      </c>
      <c r="T33" s="5"/>
      <c r="U33" s="6">
        <f t="shared" si="0"/>
        <v>796</v>
      </c>
      <c r="V33" s="5">
        <v>36</v>
      </c>
    </row>
    <row r="34" spans="1:22" ht="21" customHeight="1" x14ac:dyDescent="0.3">
      <c r="A34" s="17" t="s">
        <v>61</v>
      </c>
      <c r="B34" s="4">
        <v>672</v>
      </c>
      <c r="C34" s="4">
        <v>4</v>
      </c>
      <c r="D34" s="5">
        <v>143</v>
      </c>
      <c r="E34" s="5">
        <v>389</v>
      </c>
      <c r="F34" s="18">
        <v>463</v>
      </c>
      <c r="G34" s="5">
        <v>600</v>
      </c>
      <c r="H34" s="5">
        <v>6</v>
      </c>
      <c r="I34" s="5">
        <v>2</v>
      </c>
      <c r="J34" s="5">
        <v>192</v>
      </c>
      <c r="K34" s="5">
        <v>24</v>
      </c>
      <c r="L34" s="5">
        <v>1</v>
      </c>
      <c r="M34" s="5">
        <v>3</v>
      </c>
      <c r="N34" s="5">
        <v>1</v>
      </c>
      <c r="O34" s="5"/>
      <c r="P34" s="5">
        <v>210</v>
      </c>
      <c r="Q34" s="5">
        <v>1</v>
      </c>
      <c r="R34" s="5">
        <v>3</v>
      </c>
      <c r="S34" s="5"/>
      <c r="T34" s="5">
        <v>3</v>
      </c>
      <c r="U34" s="6">
        <f t="shared" si="0"/>
        <v>446</v>
      </c>
      <c r="V34" s="5">
        <v>15</v>
      </c>
    </row>
    <row r="35" spans="1:22" ht="21" customHeight="1" x14ac:dyDescent="0.3">
      <c r="A35" s="17" t="s">
        <v>62</v>
      </c>
      <c r="B35" s="4">
        <v>1025</v>
      </c>
      <c r="C35" s="4">
        <v>4</v>
      </c>
      <c r="D35" s="5">
        <v>164</v>
      </c>
      <c r="E35" s="5">
        <v>410</v>
      </c>
      <c r="F35" s="18">
        <v>510</v>
      </c>
      <c r="G35" s="5">
        <v>900</v>
      </c>
      <c r="H35" s="5">
        <v>4</v>
      </c>
      <c r="I35" s="5"/>
      <c r="J35" s="5">
        <v>264</v>
      </c>
      <c r="K35" s="5">
        <v>9</v>
      </c>
      <c r="L35" s="5">
        <v>1</v>
      </c>
      <c r="M35" s="5">
        <v>2</v>
      </c>
      <c r="N35" s="5"/>
      <c r="O35" s="5">
        <v>1</v>
      </c>
      <c r="P35" s="5">
        <v>178</v>
      </c>
      <c r="Q35" s="5"/>
      <c r="R35" s="5">
        <v>1</v>
      </c>
      <c r="S35" s="5">
        <v>7</v>
      </c>
      <c r="T35" s="5">
        <v>4</v>
      </c>
      <c r="U35" s="6">
        <f t="shared" si="0"/>
        <v>471</v>
      </c>
      <c r="V35" s="5">
        <v>35</v>
      </c>
    </row>
    <row r="36" spans="1:22" ht="21" customHeight="1" x14ac:dyDescent="0.3">
      <c r="A36" s="17" t="s">
        <v>63</v>
      </c>
      <c r="B36" s="4">
        <v>930</v>
      </c>
      <c r="C36" s="4">
        <v>2</v>
      </c>
      <c r="D36" s="5">
        <v>148</v>
      </c>
      <c r="E36" s="5">
        <v>396</v>
      </c>
      <c r="F36" s="18">
        <v>594</v>
      </c>
      <c r="G36" s="5">
        <v>850</v>
      </c>
      <c r="H36" s="5">
        <v>2</v>
      </c>
      <c r="I36" s="5">
        <v>1</v>
      </c>
      <c r="J36" s="5">
        <v>247</v>
      </c>
      <c r="K36" s="5">
        <v>11</v>
      </c>
      <c r="L36" s="5">
        <v>1</v>
      </c>
      <c r="M36" s="5">
        <v>2</v>
      </c>
      <c r="N36" s="5"/>
      <c r="O36" s="5">
        <v>4</v>
      </c>
      <c r="P36" s="5">
        <v>260</v>
      </c>
      <c r="Q36" s="5">
        <v>1</v>
      </c>
      <c r="R36" s="5">
        <v>1</v>
      </c>
      <c r="S36" s="5">
        <v>18</v>
      </c>
      <c r="T36" s="5">
        <v>1</v>
      </c>
      <c r="U36" s="6">
        <f t="shared" si="0"/>
        <v>549</v>
      </c>
      <c r="V36" s="5">
        <v>29</v>
      </c>
    </row>
    <row r="37" spans="1:22" ht="21" customHeight="1" x14ac:dyDescent="0.3">
      <c r="A37" s="17" t="s">
        <v>64</v>
      </c>
      <c r="B37" s="4">
        <v>1249</v>
      </c>
      <c r="C37" s="4">
        <v>1</v>
      </c>
      <c r="D37" s="5">
        <v>238</v>
      </c>
      <c r="E37" s="5">
        <v>620</v>
      </c>
      <c r="F37" s="18">
        <v>800</v>
      </c>
      <c r="G37" s="5">
        <v>1150</v>
      </c>
      <c r="H37" s="5">
        <v>15</v>
      </c>
      <c r="I37" s="5">
        <v>2</v>
      </c>
      <c r="J37" s="5">
        <v>276</v>
      </c>
      <c r="K37" s="5">
        <v>9</v>
      </c>
      <c r="L37" s="5"/>
      <c r="M37" s="5">
        <v>5</v>
      </c>
      <c r="N37" s="5">
        <v>3</v>
      </c>
      <c r="O37" s="5">
        <v>2</v>
      </c>
      <c r="P37" s="5">
        <v>442</v>
      </c>
      <c r="Q37" s="5">
        <v>9</v>
      </c>
      <c r="R37" s="5">
        <v>1</v>
      </c>
      <c r="S37" s="5">
        <v>7</v>
      </c>
      <c r="T37" s="5">
        <v>2</v>
      </c>
      <c r="U37" s="6">
        <f t="shared" si="0"/>
        <v>773</v>
      </c>
      <c r="V37" s="5">
        <v>27</v>
      </c>
    </row>
    <row r="38" spans="1:22" ht="21" customHeight="1" x14ac:dyDescent="0.3">
      <c r="A38" s="17" t="s">
        <v>65</v>
      </c>
      <c r="B38" s="4">
        <v>208</v>
      </c>
      <c r="C38" s="4">
        <v>2</v>
      </c>
      <c r="D38" s="5">
        <v>52</v>
      </c>
      <c r="E38" s="5">
        <v>140</v>
      </c>
      <c r="F38" s="18">
        <v>159</v>
      </c>
      <c r="G38" s="5">
        <v>250</v>
      </c>
      <c r="H38" s="5">
        <v>7</v>
      </c>
      <c r="I38" s="5">
        <v>9</v>
      </c>
      <c r="J38" s="5">
        <v>52</v>
      </c>
      <c r="K38" s="5">
        <v>4</v>
      </c>
      <c r="L38" s="5">
        <v>1</v>
      </c>
      <c r="M38" s="5">
        <v>1</v>
      </c>
      <c r="N38" s="5"/>
      <c r="O38" s="5">
        <v>1</v>
      </c>
      <c r="P38" s="5">
        <v>77</v>
      </c>
      <c r="Q38" s="5"/>
      <c r="R38" s="5"/>
      <c r="S38" s="5">
        <v>2</v>
      </c>
      <c r="T38" s="5"/>
      <c r="U38" s="6">
        <f t="shared" si="0"/>
        <v>154</v>
      </c>
      <c r="V38" s="5">
        <v>5</v>
      </c>
    </row>
    <row r="39" spans="1:22" ht="21" customHeight="1" x14ac:dyDescent="0.3">
      <c r="A39" s="17" t="s">
        <v>66</v>
      </c>
      <c r="B39" s="4">
        <v>1158</v>
      </c>
      <c r="C39" s="4">
        <v>5</v>
      </c>
      <c r="D39" s="5">
        <v>219</v>
      </c>
      <c r="E39" s="5">
        <v>559</v>
      </c>
      <c r="F39" s="18">
        <v>706</v>
      </c>
      <c r="G39" s="5">
        <v>1050</v>
      </c>
      <c r="H39" s="5">
        <v>10</v>
      </c>
      <c r="I39" s="5">
        <v>7</v>
      </c>
      <c r="J39" s="5">
        <v>191</v>
      </c>
      <c r="K39" s="5">
        <v>28</v>
      </c>
      <c r="L39" s="5">
        <v>3</v>
      </c>
      <c r="M39" s="5">
        <v>35</v>
      </c>
      <c r="N39" s="5">
        <v>2</v>
      </c>
      <c r="O39" s="5">
        <v>1</v>
      </c>
      <c r="P39" s="5">
        <v>385</v>
      </c>
      <c r="Q39" s="5">
        <v>5</v>
      </c>
      <c r="R39" s="5">
        <v>4</v>
      </c>
      <c r="S39" s="5">
        <v>10</v>
      </c>
      <c r="T39" s="5">
        <v>3</v>
      </c>
      <c r="U39" s="6">
        <f t="shared" si="0"/>
        <v>684</v>
      </c>
      <c r="V39" s="5">
        <v>20</v>
      </c>
    </row>
    <row r="40" spans="1:22" ht="21" customHeight="1" x14ac:dyDescent="0.3">
      <c r="A40" s="17" t="s">
        <v>67</v>
      </c>
      <c r="B40" s="4">
        <v>616</v>
      </c>
      <c r="C40" s="4">
        <v>5</v>
      </c>
      <c r="D40" s="5">
        <v>107</v>
      </c>
      <c r="E40" s="5">
        <v>311</v>
      </c>
      <c r="F40" s="18">
        <v>366</v>
      </c>
      <c r="G40" s="5">
        <v>550</v>
      </c>
      <c r="H40" s="5">
        <v>5</v>
      </c>
      <c r="I40" s="5">
        <v>9</v>
      </c>
      <c r="J40" s="5">
        <v>114</v>
      </c>
      <c r="K40" s="5">
        <v>21</v>
      </c>
      <c r="L40" s="5">
        <v>1</v>
      </c>
      <c r="M40" s="5">
        <v>1</v>
      </c>
      <c r="N40" s="5">
        <v>1</v>
      </c>
      <c r="O40" s="5">
        <v>1</v>
      </c>
      <c r="P40" s="5">
        <v>192</v>
      </c>
      <c r="Q40" s="5">
        <v>1</v>
      </c>
      <c r="R40" s="5">
        <v>2</v>
      </c>
      <c r="S40" s="5">
        <v>7</v>
      </c>
      <c r="T40" s="5">
        <v>4</v>
      </c>
      <c r="U40" s="6">
        <f t="shared" si="0"/>
        <v>359</v>
      </c>
      <c r="V40" s="5">
        <v>6</v>
      </c>
    </row>
    <row r="41" spans="1:22" ht="21" customHeight="1" x14ac:dyDescent="0.3">
      <c r="A41" s="17" t="s">
        <v>68</v>
      </c>
      <c r="B41" s="4">
        <v>571</v>
      </c>
      <c r="C41" s="4">
        <v>6</v>
      </c>
      <c r="D41" s="5">
        <v>123</v>
      </c>
      <c r="E41" s="5">
        <v>281</v>
      </c>
      <c r="F41" s="18">
        <v>357</v>
      </c>
      <c r="G41" s="5">
        <v>500</v>
      </c>
      <c r="H41" s="5">
        <v>4</v>
      </c>
      <c r="I41" s="5">
        <v>13</v>
      </c>
      <c r="J41" s="5">
        <v>84</v>
      </c>
      <c r="K41" s="5">
        <v>13</v>
      </c>
      <c r="L41" s="5"/>
      <c r="M41" s="5"/>
      <c r="N41" s="5">
        <v>2</v>
      </c>
      <c r="O41" s="5">
        <v>2</v>
      </c>
      <c r="P41" s="5">
        <v>212</v>
      </c>
      <c r="Q41" s="5">
        <v>2</v>
      </c>
      <c r="R41" s="5">
        <v>2</v>
      </c>
      <c r="S41" s="5">
        <v>9</v>
      </c>
      <c r="T41" s="5">
        <v>2</v>
      </c>
      <c r="U41" s="6">
        <f t="shared" si="0"/>
        <v>345</v>
      </c>
      <c r="V41" s="5">
        <v>12</v>
      </c>
    </row>
    <row r="42" spans="1:22" ht="21" customHeight="1" x14ac:dyDescent="0.3">
      <c r="A42" s="17" t="s">
        <v>69</v>
      </c>
      <c r="B42" s="4">
        <v>1324</v>
      </c>
      <c r="C42" s="4">
        <v>10</v>
      </c>
      <c r="D42" s="5">
        <v>280</v>
      </c>
      <c r="E42" s="5">
        <v>690</v>
      </c>
      <c r="F42" s="18">
        <v>840</v>
      </c>
      <c r="G42" s="5">
        <v>1200</v>
      </c>
      <c r="H42" s="5">
        <v>12</v>
      </c>
      <c r="I42" s="5">
        <v>5</v>
      </c>
      <c r="J42" s="5">
        <v>344</v>
      </c>
      <c r="K42" s="5">
        <v>30</v>
      </c>
      <c r="L42" s="5">
        <v>1</v>
      </c>
      <c r="M42" s="5">
        <v>3</v>
      </c>
      <c r="N42" s="5">
        <v>1</v>
      </c>
      <c r="O42" s="5">
        <v>7</v>
      </c>
      <c r="P42" s="5">
        <v>369</v>
      </c>
      <c r="Q42" s="5">
        <v>4</v>
      </c>
      <c r="R42" s="5">
        <v>4</v>
      </c>
      <c r="S42" s="5">
        <v>30</v>
      </c>
      <c r="T42" s="5">
        <v>4</v>
      </c>
      <c r="U42" s="6">
        <f t="shared" si="0"/>
        <v>814</v>
      </c>
      <c r="V42" s="5">
        <v>23</v>
      </c>
    </row>
    <row r="43" spans="1:22" ht="21" customHeight="1" x14ac:dyDescent="0.3">
      <c r="A43" s="17" t="s">
        <v>70</v>
      </c>
      <c r="B43" s="4">
        <v>1252</v>
      </c>
      <c r="C43" s="4">
        <v>9</v>
      </c>
      <c r="D43" s="5">
        <v>269</v>
      </c>
      <c r="E43" s="5">
        <v>624</v>
      </c>
      <c r="F43" s="18">
        <v>760</v>
      </c>
      <c r="G43" s="5">
        <v>1150</v>
      </c>
      <c r="H43" s="5">
        <v>4</v>
      </c>
      <c r="I43" s="5">
        <v>1</v>
      </c>
      <c r="J43" s="5">
        <v>300</v>
      </c>
      <c r="K43" s="5">
        <v>21</v>
      </c>
      <c r="L43" s="5"/>
      <c r="M43" s="5">
        <v>8</v>
      </c>
      <c r="N43" s="5">
        <v>3</v>
      </c>
      <c r="O43" s="5">
        <v>1</v>
      </c>
      <c r="P43" s="5">
        <v>357</v>
      </c>
      <c r="Q43" s="5">
        <v>18</v>
      </c>
      <c r="R43" s="5">
        <v>4</v>
      </c>
      <c r="S43" s="5">
        <v>13</v>
      </c>
      <c r="T43" s="5">
        <v>6</v>
      </c>
      <c r="U43" s="6">
        <f t="shared" si="0"/>
        <v>736</v>
      </c>
      <c r="V43" s="5">
        <v>23</v>
      </c>
    </row>
    <row r="44" spans="1:22" ht="21" customHeight="1" x14ac:dyDescent="0.3">
      <c r="A44" s="17" t="s">
        <v>71</v>
      </c>
      <c r="B44" s="4">
        <v>1477</v>
      </c>
      <c r="C44" s="4">
        <v>6</v>
      </c>
      <c r="D44" s="5">
        <v>271</v>
      </c>
      <c r="E44" s="5">
        <v>657</v>
      </c>
      <c r="F44" s="18">
        <v>927</v>
      </c>
      <c r="G44" s="5">
        <v>1350</v>
      </c>
      <c r="H44" s="5">
        <v>21</v>
      </c>
      <c r="I44" s="5">
        <v>16</v>
      </c>
      <c r="J44" s="5">
        <v>354</v>
      </c>
      <c r="K44" s="5">
        <v>17</v>
      </c>
      <c r="L44" s="5">
        <v>4</v>
      </c>
      <c r="M44" s="5">
        <v>3</v>
      </c>
      <c r="N44" s="5">
        <v>1</v>
      </c>
      <c r="O44" s="5">
        <v>3</v>
      </c>
      <c r="P44" s="5">
        <v>445</v>
      </c>
      <c r="Q44" s="5">
        <v>3</v>
      </c>
      <c r="R44" s="5">
        <v>6</v>
      </c>
      <c r="S44" s="5">
        <v>17</v>
      </c>
      <c r="T44" s="5">
        <v>6</v>
      </c>
      <c r="U44" s="6">
        <f t="shared" si="0"/>
        <v>896</v>
      </c>
      <c r="V44" s="5">
        <v>31</v>
      </c>
    </row>
    <row r="45" spans="1:22" ht="21" customHeight="1" x14ac:dyDescent="0.3">
      <c r="A45" s="17" t="s">
        <v>72</v>
      </c>
      <c r="B45" s="4">
        <v>1487</v>
      </c>
      <c r="C45" s="4">
        <v>6</v>
      </c>
      <c r="D45" s="5">
        <v>326</v>
      </c>
      <c r="E45" s="5">
        <v>693</v>
      </c>
      <c r="F45" s="18">
        <v>914</v>
      </c>
      <c r="G45" s="5">
        <v>1400</v>
      </c>
      <c r="H45" s="5">
        <v>6</v>
      </c>
      <c r="I45" s="5">
        <v>4</v>
      </c>
      <c r="J45" s="5">
        <v>426</v>
      </c>
      <c r="K45" s="5">
        <v>26</v>
      </c>
      <c r="L45" s="5">
        <v>3</v>
      </c>
      <c r="M45" s="5">
        <v>3</v>
      </c>
      <c r="N45" s="5">
        <v>5</v>
      </c>
      <c r="O45" s="5">
        <v>1</v>
      </c>
      <c r="P45" s="5">
        <v>379</v>
      </c>
      <c r="Q45" s="5">
        <v>8</v>
      </c>
      <c r="R45" s="5">
        <v>4</v>
      </c>
      <c r="S45" s="5">
        <v>15</v>
      </c>
      <c r="T45" s="5">
        <v>3</v>
      </c>
      <c r="U45" s="6">
        <f t="shared" si="0"/>
        <v>883</v>
      </c>
      <c r="V45" s="5">
        <v>26</v>
      </c>
    </row>
    <row r="46" spans="1:22" ht="21" customHeight="1" x14ac:dyDescent="0.3">
      <c r="A46" s="17" t="s">
        <v>73</v>
      </c>
      <c r="B46" s="4">
        <v>806</v>
      </c>
      <c r="C46" s="4">
        <v>1</v>
      </c>
      <c r="D46" s="5">
        <v>170</v>
      </c>
      <c r="E46" s="5">
        <v>410</v>
      </c>
      <c r="F46" s="18">
        <v>526</v>
      </c>
      <c r="G46" s="5">
        <v>750</v>
      </c>
      <c r="H46" s="5">
        <v>17</v>
      </c>
      <c r="I46" s="5">
        <v>2</v>
      </c>
      <c r="J46" s="5">
        <v>155</v>
      </c>
      <c r="K46" s="5">
        <v>12</v>
      </c>
      <c r="L46" s="5">
        <v>4</v>
      </c>
      <c r="M46" s="5">
        <v>1</v>
      </c>
      <c r="N46" s="5">
        <v>2</v>
      </c>
      <c r="O46" s="5"/>
      <c r="P46" s="5">
        <v>288</v>
      </c>
      <c r="Q46" s="5">
        <v>7</v>
      </c>
      <c r="R46" s="5">
        <v>1</v>
      </c>
      <c r="S46" s="5">
        <v>24</v>
      </c>
      <c r="T46" s="5">
        <v>2</v>
      </c>
      <c r="U46" s="6">
        <f t="shared" si="0"/>
        <v>515</v>
      </c>
      <c r="V46" s="5">
        <v>9</v>
      </c>
    </row>
    <row r="47" spans="1:22" ht="21" customHeight="1" x14ac:dyDescent="0.3">
      <c r="A47" s="17" t="s">
        <v>74</v>
      </c>
      <c r="B47" s="4">
        <v>1542</v>
      </c>
      <c r="C47" s="4">
        <v>3</v>
      </c>
      <c r="D47" s="5">
        <v>365</v>
      </c>
      <c r="E47" s="5">
        <v>840</v>
      </c>
      <c r="F47" s="18">
        <v>1036</v>
      </c>
      <c r="G47" s="5">
        <v>1400</v>
      </c>
      <c r="H47" s="5">
        <v>10</v>
      </c>
      <c r="I47" s="5">
        <v>6</v>
      </c>
      <c r="J47" s="5">
        <v>380</v>
      </c>
      <c r="K47" s="5">
        <v>25</v>
      </c>
      <c r="L47" s="5">
        <v>6</v>
      </c>
      <c r="M47" s="5">
        <v>5</v>
      </c>
      <c r="N47" s="5">
        <v>2</v>
      </c>
      <c r="O47" s="5">
        <v>6</v>
      </c>
      <c r="P47" s="5">
        <v>531</v>
      </c>
      <c r="Q47" s="5">
        <v>5</v>
      </c>
      <c r="R47" s="5">
        <v>6</v>
      </c>
      <c r="S47" s="5">
        <v>11</v>
      </c>
      <c r="T47" s="5">
        <v>11</v>
      </c>
      <c r="U47" s="6">
        <f t="shared" si="0"/>
        <v>1004</v>
      </c>
      <c r="V47" s="5">
        <v>31</v>
      </c>
    </row>
    <row r="48" spans="1:22" ht="21" customHeight="1" x14ac:dyDescent="0.3">
      <c r="A48" s="17" t="s">
        <v>75</v>
      </c>
      <c r="B48" s="4">
        <v>1116</v>
      </c>
      <c r="C48" s="4">
        <v>4</v>
      </c>
      <c r="D48" s="5">
        <v>219</v>
      </c>
      <c r="E48" s="5">
        <v>542</v>
      </c>
      <c r="F48" s="18">
        <v>680</v>
      </c>
      <c r="G48" s="5">
        <v>1050</v>
      </c>
      <c r="H48" s="5">
        <v>5</v>
      </c>
      <c r="I48" s="5">
        <v>9</v>
      </c>
      <c r="J48" s="5">
        <v>239</v>
      </c>
      <c r="K48" s="5">
        <v>41</v>
      </c>
      <c r="L48" s="5">
        <v>1</v>
      </c>
      <c r="M48" s="5">
        <v>6</v>
      </c>
      <c r="N48" s="5">
        <v>6</v>
      </c>
      <c r="O48" s="5">
        <v>15</v>
      </c>
      <c r="P48" s="5">
        <v>309</v>
      </c>
      <c r="Q48" s="5">
        <v>7</v>
      </c>
      <c r="R48" s="5">
        <v>4</v>
      </c>
      <c r="S48" s="5">
        <v>8</v>
      </c>
      <c r="T48" s="5">
        <v>5</v>
      </c>
      <c r="U48" s="6">
        <f t="shared" si="0"/>
        <v>655</v>
      </c>
      <c r="V48" s="5">
        <v>25</v>
      </c>
    </row>
    <row r="49" spans="1:22" ht="21" customHeight="1" x14ac:dyDescent="0.3">
      <c r="A49" s="17" t="s">
        <v>76</v>
      </c>
      <c r="B49" s="4">
        <v>1183</v>
      </c>
      <c r="C49" s="4">
        <v>8</v>
      </c>
      <c r="D49" s="5">
        <v>198</v>
      </c>
      <c r="E49" s="5">
        <v>477</v>
      </c>
      <c r="F49" s="18">
        <v>692</v>
      </c>
      <c r="G49" s="5">
        <v>1050</v>
      </c>
      <c r="H49" s="5">
        <v>3</v>
      </c>
      <c r="I49" s="5">
        <v>84</v>
      </c>
      <c r="J49" s="5">
        <v>225</v>
      </c>
      <c r="K49" s="5">
        <v>21</v>
      </c>
      <c r="L49" s="5">
        <v>1</v>
      </c>
      <c r="M49" s="5">
        <v>2</v>
      </c>
      <c r="N49" s="5">
        <v>3</v>
      </c>
      <c r="O49" s="5"/>
      <c r="P49" s="5">
        <v>299</v>
      </c>
      <c r="Q49" s="5">
        <v>3</v>
      </c>
      <c r="R49" s="5">
        <v>3</v>
      </c>
      <c r="S49" s="5">
        <v>28</v>
      </c>
      <c r="T49" s="5"/>
      <c r="U49" s="6">
        <f t="shared" si="0"/>
        <v>672</v>
      </c>
      <c r="V49" s="5">
        <v>16</v>
      </c>
    </row>
    <row r="50" spans="1:22" ht="21" customHeight="1" x14ac:dyDescent="0.3">
      <c r="A50" s="17" t="s">
        <v>77</v>
      </c>
      <c r="B50" s="4">
        <v>868</v>
      </c>
      <c r="C50" s="4">
        <v>5</v>
      </c>
      <c r="D50" s="5">
        <v>143</v>
      </c>
      <c r="E50" s="5">
        <v>415</v>
      </c>
      <c r="F50" s="18">
        <v>542</v>
      </c>
      <c r="G50" s="5">
        <v>800</v>
      </c>
      <c r="H50" s="5">
        <v>9</v>
      </c>
      <c r="I50" s="5">
        <v>37</v>
      </c>
      <c r="J50" s="5">
        <v>87</v>
      </c>
      <c r="K50" s="5">
        <v>15</v>
      </c>
      <c r="L50" s="5"/>
      <c r="M50" s="5">
        <v>5</v>
      </c>
      <c r="N50" s="5">
        <v>1</v>
      </c>
      <c r="O50" s="5">
        <v>1</v>
      </c>
      <c r="P50" s="5">
        <v>343</v>
      </c>
      <c r="Q50" s="5">
        <v>2</v>
      </c>
      <c r="R50" s="5">
        <v>1</v>
      </c>
      <c r="S50" s="5">
        <v>20</v>
      </c>
      <c r="T50" s="5">
        <v>6</v>
      </c>
      <c r="U50" s="6">
        <f t="shared" si="0"/>
        <v>527</v>
      </c>
      <c r="V50" s="5">
        <v>12</v>
      </c>
    </row>
    <row r="51" spans="1:22" ht="21" customHeight="1" x14ac:dyDescent="0.3">
      <c r="A51" s="17" t="s">
        <v>78</v>
      </c>
      <c r="B51" s="4">
        <v>1133</v>
      </c>
      <c r="C51" s="4">
        <v>7</v>
      </c>
      <c r="D51" s="5">
        <v>240</v>
      </c>
      <c r="E51" s="5">
        <v>548</v>
      </c>
      <c r="F51" s="18">
        <v>680</v>
      </c>
      <c r="G51" s="5">
        <v>1050</v>
      </c>
      <c r="H51" s="5">
        <v>7</v>
      </c>
      <c r="I51" s="5">
        <v>19</v>
      </c>
      <c r="J51" s="5">
        <v>186</v>
      </c>
      <c r="K51" s="5">
        <v>24</v>
      </c>
      <c r="L51" s="5">
        <v>7</v>
      </c>
      <c r="M51" s="5">
        <v>3</v>
      </c>
      <c r="N51" s="5">
        <v>2</v>
      </c>
      <c r="O51" s="5">
        <v>2</v>
      </c>
      <c r="P51" s="5">
        <v>355</v>
      </c>
      <c r="Q51" s="5">
        <v>6</v>
      </c>
      <c r="R51" s="5">
        <v>2</v>
      </c>
      <c r="S51" s="5">
        <v>46</v>
      </c>
      <c r="T51" s="5">
        <v>1</v>
      </c>
      <c r="U51" s="6">
        <f t="shared" si="0"/>
        <v>660</v>
      </c>
      <c r="V51" s="5">
        <v>20</v>
      </c>
    </row>
    <row r="52" spans="1:22" ht="21" customHeight="1" x14ac:dyDescent="0.3">
      <c r="A52" s="17" t="s">
        <v>79</v>
      </c>
      <c r="B52" s="4">
        <v>677</v>
      </c>
      <c r="C52" s="4">
        <v>4</v>
      </c>
      <c r="D52" s="5">
        <v>132</v>
      </c>
      <c r="E52" s="5">
        <v>315</v>
      </c>
      <c r="F52" s="18">
        <v>393</v>
      </c>
      <c r="G52" s="5">
        <v>600</v>
      </c>
      <c r="H52" s="5">
        <v>6</v>
      </c>
      <c r="I52" s="5">
        <v>6</v>
      </c>
      <c r="J52" s="5">
        <v>109</v>
      </c>
      <c r="K52" s="5">
        <v>15</v>
      </c>
      <c r="L52" s="5">
        <v>2</v>
      </c>
      <c r="M52" s="5">
        <v>5</v>
      </c>
      <c r="N52" s="5">
        <v>1</v>
      </c>
      <c r="O52" s="5">
        <v>7</v>
      </c>
      <c r="P52" s="5">
        <v>195</v>
      </c>
      <c r="Q52" s="5">
        <v>13</v>
      </c>
      <c r="R52" s="5">
        <v>2</v>
      </c>
      <c r="S52" s="5">
        <v>11</v>
      </c>
      <c r="T52" s="5">
        <v>2</v>
      </c>
      <c r="U52" s="6">
        <f t="shared" si="0"/>
        <v>374</v>
      </c>
      <c r="V52" s="5">
        <v>17</v>
      </c>
    </row>
    <row r="53" spans="1:22" ht="21" customHeight="1" x14ac:dyDescent="0.3">
      <c r="A53" s="17" t="s">
        <v>80</v>
      </c>
      <c r="B53" s="4">
        <v>883</v>
      </c>
      <c r="C53" s="4">
        <v>6</v>
      </c>
      <c r="D53" s="5">
        <v>188</v>
      </c>
      <c r="E53" s="5">
        <v>433</v>
      </c>
      <c r="F53" s="18">
        <v>512</v>
      </c>
      <c r="G53" s="5">
        <v>750</v>
      </c>
      <c r="H53" s="5">
        <v>9</v>
      </c>
      <c r="I53" s="5">
        <v>8</v>
      </c>
      <c r="J53" s="5">
        <v>182</v>
      </c>
      <c r="K53" s="5">
        <v>8</v>
      </c>
      <c r="L53" s="5"/>
      <c r="M53" s="5">
        <v>2</v>
      </c>
      <c r="N53" s="5"/>
      <c r="O53" s="5"/>
      <c r="P53" s="5">
        <v>258</v>
      </c>
      <c r="Q53" s="5">
        <v>3</v>
      </c>
      <c r="R53" s="5"/>
      <c r="S53" s="5">
        <v>14</v>
      </c>
      <c r="T53" s="5">
        <v>2</v>
      </c>
      <c r="U53" s="6">
        <f t="shared" si="0"/>
        <v>486</v>
      </c>
      <c r="V53" s="5">
        <v>26</v>
      </c>
    </row>
    <row r="54" spans="1:22" ht="21" customHeight="1" x14ac:dyDescent="0.3">
      <c r="A54" s="17" t="s">
        <v>81</v>
      </c>
      <c r="B54" s="4">
        <v>1014</v>
      </c>
      <c r="C54" s="4">
        <v>9</v>
      </c>
      <c r="D54" s="5">
        <v>154</v>
      </c>
      <c r="E54" s="5">
        <v>363</v>
      </c>
      <c r="F54" s="18">
        <v>457</v>
      </c>
      <c r="G54" s="5">
        <v>850</v>
      </c>
      <c r="H54" s="5">
        <v>13</v>
      </c>
      <c r="I54" s="5">
        <v>4</v>
      </c>
      <c r="J54" s="5">
        <v>122</v>
      </c>
      <c r="K54" s="5">
        <v>12</v>
      </c>
      <c r="L54" s="5"/>
      <c r="M54" s="5">
        <v>9</v>
      </c>
      <c r="N54" s="5">
        <v>5</v>
      </c>
      <c r="O54" s="5">
        <v>13</v>
      </c>
      <c r="P54" s="5">
        <v>212</v>
      </c>
      <c r="Q54" s="5">
        <v>11</v>
      </c>
      <c r="R54" s="5">
        <v>23</v>
      </c>
      <c r="S54" s="5">
        <v>8</v>
      </c>
      <c r="T54" s="5">
        <v>1</v>
      </c>
      <c r="U54" s="6">
        <f t="shared" si="0"/>
        <v>433</v>
      </c>
      <c r="V54" s="5">
        <v>21</v>
      </c>
    </row>
    <row r="55" spans="1:22" ht="21" customHeight="1" x14ac:dyDescent="0.3">
      <c r="A55" s="17" t="s">
        <v>82</v>
      </c>
      <c r="B55" s="4">
        <v>1294</v>
      </c>
      <c r="C55" s="4">
        <v>9</v>
      </c>
      <c r="D55" s="5">
        <v>220</v>
      </c>
      <c r="E55" s="5">
        <v>580</v>
      </c>
      <c r="F55" s="18">
        <v>700</v>
      </c>
      <c r="G55" s="5">
        <v>1150</v>
      </c>
      <c r="H55" s="5">
        <v>13</v>
      </c>
      <c r="I55" s="5">
        <v>6</v>
      </c>
      <c r="J55" s="5">
        <v>185</v>
      </c>
      <c r="K55" s="5">
        <v>25</v>
      </c>
      <c r="L55" s="5">
        <v>2</v>
      </c>
      <c r="M55" s="5">
        <v>14</v>
      </c>
      <c r="N55" s="5">
        <v>4</v>
      </c>
      <c r="O55" s="5">
        <v>3</v>
      </c>
      <c r="P55" s="5">
        <v>395</v>
      </c>
      <c r="Q55" s="5">
        <v>10</v>
      </c>
      <c r="R55" s="5">
        <v>1</v>
      </c>
      <c r="S55" s="5">
        <v>9</v>
      </c>
      <c r="T55" s="5"/>
      <c r="U55" s="6">
        <f t="shared" si="0"/>
        <v>667</v>
      </c>
      <c r="V55" s="5">
        <v>27</v>
      </c>
    </row>
    <row r="56" spans="1:22" ht="21" customHeight="1" x14ac:dyDescent="0.3">
      <c r="A56" s="17" t="s">
        <v>83</v>
      </c>
      <c r="B56" s="4">
        <v>840</v>
      </c>
      <c r="C56" s="4">
        <v>5</v>
      </c>
      <c r="D56" s="5">
        <v>165</v>
      </c>
      <c r="E56" s="5">
        <v>405</v>
      </c>
      <c r="F56" s="18">
        <v>485</v>
      </c>
      <c r="G56" s="5">
        <v>750</v>
      </c>
      <c r="H56" s="5">
        <v>5</v>
      </c>
      <c r="I56" s="5">
        <v>7</v>
      </c>
      <c r="J56" s="5">
        <v>87</v>
      </c>
      <c r="K56" s="5">
        <v>20</v>
      </c>
      <c r="L56" s="5">
        <v>1</v>
      </c>
      <c r="M56" s="5">
        <v>35</v>
      </c>
      <c r="N56" s="5">
        <v>1</v>
      </c>
      <c r="O56" s="5">
        <v>6</v>
      </c>
      <c r="P56" s="5">
        <v>282</v>
      </c>
      <c r="Q56" s="5">
        <v>2</v>
      </c>
      <c r="R56" s="5">
        <v>2</v>
      </c>
      <c r="S56" s="5">
        <v>5</v>
      </c>
      <c r="T56" s="5">
        <v>1</v>
      </c>
      <c r="U56" s="6">
        <f t="shared" si="0"/>
        <v>454</v>
      </c>
      <c r="V56" s="5">
        <v>31</v>
      </c>
    </row>
    <row r="57" spans="1:22" ht="21" customHeight="1" x14ac:dyDescent="0.3">
      <c r="A57" s="17" t="s">
        <v>86</v>
      </c>
      <c r="B57" s="4">
        <v>1038</v>
      </c>
      <c r="C57" s="4">
        <v>3</v>
      </c>
      <c r="D57" s="5">
        <v>184</v>
      </c>
      <c r="E57" s="5">
        <v>503</v>
      </c>
      <c r="F57" s="18">
        <v>729</v>
      </c>
      <c r="G57" s="5">
        <v>950</v>
      </c>
      <c r="H57" s="5">
        <v>11</v>
      </c>
      <c r="I57" s="5">
        <v>5</v>
      </c>
      <c r="J57" s="5">
        <v>430</v>
      </c>
      <c r="K57" s="5">
        <v>6</v>
      </c>
      <c r="L57" s="5">
        <v>7</v>
      </c>
      <c r="M57" s="5">
        <v>3</v>
      </c>
      <c r="N57" s="5">
        <v>3</v>
      </c>
      <c r="O57" s="5">
        <v>2</v>
      </c>
      <c r="P57" s="5">
        <v>230</v>
      </c>
      <c r="Q57" s="5">
        <v>3</v>
      </c>
      <c r="R57" s="5">
        <v>1</v>
      </c>
      <c r="S57" s="5">
        <v>9</v>
      </c>
      <c r="T57" s="5"/>
      <c r="U57" s="6">
        <f t="shared" si="0"/>
        <v>710</v>
      </c>
      <c r="V57" s="5">
        <v>19</v>
      </c>
    </row>
    <row r="58" spans="1:22" ht="21" customHeight="1" x14ac:dyDescent="0.3">
      <c r="A58" s="17" t="s">
        <v>87</v>
      </c>
      <c r="B58" s="4">
        <v>584</v>
      </c>
      <c r="C58" s="4">
        <v>7</v>
      </c>
      <c r="D58" s="5">
        <v>120</v>
      </c>
      <c r="E58" s="5">
        <v>293</v>
      </c>
      <c r="F58" s="18">
        <v>368</v>
      </c>
      <c r="G58" s="5">
        <v>500</v>
      </c>
      <c r="H58" s="5">
        <v>5</v>
      </c>
      <c r="I58" s="5">
        <v>9</v>
      </c>
      <c r="J58" s="5">
        <v>117</v>
      </c>
      <c r="K58" s="5">
        <v>20</v>
      </c>
      <c r="L58" s="5"/>
      <c r="M58" s="5">
        <v>13</v>
      </c>
      <c r="N58" s="5"/>
      <c r="O58" s="5"/>
      <c r="P58" s="5">
        <v>173</v>
      </c>
      <c r="Q58" s="5">
        <v>11</v>
      </c>
      <c r="R58" s="5">
        <v>3</v>
      </c>
      <c r="S58" s="5">
        <v>2</v>
      </c>
      <c r="T58" s="5">
        <v>1</v>
      </c>
      <c r="U58" s="6">
        <f t="shared" si="0"/>
        <v>354</v>
      </c>
      <c r="V58" s="5">
        <v>12</v>
      </c>
    </row>
    <row r="59" spans="1:22" ht="21" customHeight="1" x14ac:dyDescent="0.3">
      <c r="A59" s="17" t="s">
        <v>88</v>
      </c>
      <c r="B59" s="4">
        <v>973</v>
      </c>
      <c r="C59" s="4">
        <v>5</v>
      </c>
      <c r="D59" s="5">
        <v>199</v>
      </c>
      <c r="E59" s="5">
        <v>496</v>
      </c>
      <c r="F59" s="18">
        <v>643</v>
      </c>
      <c r="G59" s="5">
        <v>850</v>
      </c>
      <c r="H59" s="5">
        <v>1</v>
      </c>
      <c r="I59" s="5">
        <v>2</v>
      </c>
      <c r="J59" s="5">
        <v>350</v>
      </c>
      <c r="K59" s="5">
        <v>15</v>
      </c>
      <c r="L59" s="5"/>
      <c r="M59" s="5">
        <v>2</v>
      </c>
      <c r="N59" s="5">
        <v>1</v>
      </c>
      <c r="O59" s="5">
        <v>5</v>
      </c>
      <c r="P59" s="5">
        <v>230</v>
      </c>
      <c r="Q59" s="5">
        <v>1</v>
      </c>
      <c r="R59" s="5"/>
      <c r="S59" s="5">
        <v>8</v>
      </c>
      <c r="T59" s="5">
        <v>1</v>
      </c>
      <c r="U59" s="6">
        <f t="shared" si="0"/>
        <v>616</v>
      </c>
      <c r="V59" s="5">
        <v>27</v>
      </c>
    </row>
    <row r="60" spans="1:22" ht="21" customHeight="1" x14ac:dyDescent="0.3">
      <c r="A60" s="17" t="s">
        <v>89</v>
      </c>
      <c r="B60" s="4">
        <v>1414</v>
      </c>
      <c r="C60" s="4">
        <v>3</v>
      </c>
      <c r="D60" s="5">
        <v>220</v>
      </c>
      <c r="E60" s="5">
        <v>680</v>
      </c>
      <c r="F60" s="18">
        <v>834</v>
      </c>
      <c r="G60" s="5">
        <v>1300</v>
      </c>
      <c r="H60" s="5">
        <v>3</v>
      </c>
      <c r="I60" s="5">
        <v>44</v>
      </c>
      <c r="J60" s="5">
        <v>295</v>
      </c>
      <c r="K60" s="5">
        <v>23</v>
      </c>
      <c r="L60" s="5">
        <v>1</v>
      </c>
      <c r="M60" s="5">
        <v>6</v>
      </c>
      <c r="N60" s="5">
        <v>3</v>
      </c>
      <c r="O60" s="5">
        <v>7</v>
      </c>
      <c r="P60" s="5">
        <v>382</v>
      </c>
      <c r="Q60" s="5">
        <v>22</v>
      </c>
      <c r="R60" s="5">
        <v>5</v>
      </c>
      <c r="S60" s="5">
        <v>15</v>
      </c>
      <c r="T60" s="5">
        <v>2</v>
      </c>
      <c r="U60" s="6">
        <f t="shared" si="0"/>
        <v>808</v>
      </c>
      <c r="V60" s="5">
        <v>23</v>
      </c>
    </row>
    <row r="61" spans="1:22" ht="21" customHeight="1" x14ac:dyDescent="0.3">
      <c r="A61" s="17" t="s">
        <v>90</v>
      </c>
      <c r="B61" s="4">
        <v>830</v>
      </c>
      <c r="C61" s="4">
        <v>4</v>
      </c>
      <c r="D61" s="5">
        <v>164</v>
      </c>
      <c r="E61" s="5">
        <v>401</v>
      </c>
      <c r="F61" s="18">
        <v>549</v>
      </c>
      <c r="G61" s="5">
        <v>750</v>
      </c>
      <c r="H61" s="5">
        <v>7</v>
      </c>
      <c r="I61" s="5">
        <v>9</v>
      </c>
      <c r="J61" s="5">
        <v>145</v>
      </c>
      <c r="K61" s="5">
        <v>31</v>
      </c>
      <c r="L61" s="5">
        <v>2</v>
      </c>
      <c r="M61" s="5">
        <v>3</v>
      </c>
      <c r="N61" s="5">
        <v>4</v>
      </c>
      <c r="O61" s="5">
        <v>5</v>
      </c>
      <c r="P61" s="5">
        <v>309</v>
      </c>
      <c r="Q61" s="5">
        <v>9</v>
      </c>
      <c r="R61" s="5">
        <v>6</v>
      </c>
      <c r="S61" s="5">
        <v>6</v>
      </c>
      <c r="T61" s="5"/>
      <c r="U61" s="6">
        <f t="shared" si="0"/>
        <v>536</v>
      </c>
      <c r="V61" s="5">
        <v>13</v>
      </c>
    </row>
    <row r="62" spans="1:22" ht="21" customHeight="1" x14ac:dyDescent="0.3">
      <c r="A62" s="17" t="s">
        <v>91</v>
      </c>
      <c r="B62" s="4">
        <v>988</v>
      </c>
      <c r="C62" s="4">
        <v>5</v>
      </c>
      <c r="D62" s="5">
        <v>160</v>
      </c>
      <c r="E62" s="5">
        <v>430</v>
      </c>
      <c r="F62" s="18">
        <v>543</v>
      </c>
      <c r="G62" s="5">
        <v>850</v>
      </c>
      <c r="H62" s="5">
        <v>7</v>
      </c>
      <c r="I62" s="5">
        <v>19</v>
      </c>
      <c r="J62" s="5">
        <v>252</v>
      </c>
      <c r="K62" s="5">
        <v>26</v>
      </c>
      <c r="L62" s="5"/>
      <c r="M62" s="5">
        <v>2</v>
      </c>
      <c r="N62" s="5">
        <v>2</v>
      </c>
      <c r="O62" s="5"/>
      <c r="P62" s="5">
        <v>212</v>
      </c>
      <c r="Q62" s="5">
        <v>1</v>
      </c>
      <c r="R62" s="5">
        <v>1</v>
      </c>
      <c r="S62" s="5">
        <v>4</v>
      </c>
      <c r="T62" s="5"/>
      <c r="U62" s="6">
        <f t="shared" si="0"/>
        <v>526</v>
      </c>
      <c r="V62" s="5">
        <v>17</v>
      </c>
    </row>
    <row r="63" spans="1:22" ht="21" customHeight="1" x14ac:dyDescent="0.3">
      <c r="A63" s="17" t="s">
        <v>92</v>
      </c>
      <c r="B63" s="4">
        <v>616</v>
      </c>
      <c r="C63" s="4">
        <v>7</v>
      </c>
      <c r="D63" s="5">
        <v>135</v>
      </c>
      <c r="E63" s="5">
        <v>302</v>
      </c>
      <c r="F63" s="18">
        <v>367</v>
      </c>
      <c r="G63" s="5">
        <v>550</v>
      </c>
      <c r="H63" s="5">
        <v>5</v>
      </c>
      <c r="I63" s="5">
        <v>4</v>
      </c>
      <c r="J63" s="5">
        <v>97</v>
      </c>
      <c r="K63" s="5">
        <v>13</v>
      </c>
      <c r="L63" s="5">
        <v>1</v>
      </c>
      <c r="M63" s="5">
        <v>3</v>
      </c>
      <c r="N63" s="5">
        <v>2</v>
      </c>
      <c r="O63" s="5"/>
      <c r="P63" s="5">
        <v>215</v>
      </c>
      <c r="Q63" s="5"/>
      <c r="R63" s="5">
        <v>3</v>
      </c>
      <c r="S63" s="5">
        <v>4</v>
      </c>
      <c r="T63" s="5">
        <v>1</v>
      </c>
      <c r="U63" s="6">
        <f t="shared" si="0"/>
        <v>348</v>
      </c>
      <c r="V63" s="5">
        <v>17</v>
      </c>
    </row>
    <row r="64" spans="1:22" ht="21" customHeight="1" x14ac:dyDescent="0.3">
      <c r="A64" s="17" t="s">
        <v>93</v>
      </c>
      <c r="B64" s="4">
        <v>820</v>
      </c>
      <c r="C64" s="4">
        <v>6</v>
      </c>
      <c r="D64" s="5">
        <v>158</v>
      </c>
      <c r="E64" s="5">
        <v>370</v>
      </c>
      <c r="F64" s="18">
        <v>455</v>
      </c>
      <c r="G64" s="5">
        <v>750</v>
      </c>
      <c r="H64" s="5">
        <v>9</v>
      </c>
      <c r="I64" s="5">
        <v>3</v>
      </c>
      <c r="J64" s="5">
        <v>184</v>
      </c>
      <c r="K64" s="5">
        <v>9</v>
      </c>
      <c r="L64" s="5">
        <v>3</v>
      </c>
      <c r="M64" s="5"/>
      <c r="N64" s="5">
        <v>2</v>
      </c>
      <c r="O64" s="5">
        <v>1</v>
      </c>
      <c r="P64" s="5">
        <v>208</v>
      </c>
      <c r="Q64" s="5"/>
      <c r="R64" s="5">
        <v>1</v>
      </c>
      <c r="S64" s="5">
        <v>9</v>
      </c>
      <c r="T64" s="5">
        <v>15</v>
      </c>
      <c r="U64" s="6">
        <f t="shared" si="0"/>
        <v>444</v>
      </c>
      <c r="V64" s="5">
        <v>11</v>
      </c>
    </row>
    <row r="65" spans="1:22" ht="21" customHeight="1" x14ac:dyDescent="0.3">
      <c r="A65" s="17" t="s">
        <v>94</v>
      </c>
      <c r="B65" s="4">
        <v>718</v>
      </c>
      <c r="C65" s="4">
        <v>6</v>
      </c>
      <c r="D65" s="5">
        <v>207</v>
      </c>
      <c r="E65" s="5">
        <v>388</v>
      </c>
      <c r="F65" s="18">
        <v>472</v>
      </c>
      <c r="G65" s="5">
        <v>650</v>
      </c>
      <c r="H65" s="5">
        <v>11</v>
      </c>
      <c r="I65" s="5">
        <v>5</v>
      </c>
      <c r="J65" s="5">
        <v>225</v>
      </c>
      <c r="K65" s="5">
        <v>9</v>
      </c>
      <c r="L65" s="5">
        <v>5</v>
      </c>
      <c r="M65" s="5">
        <v>2</v>
      </c>
      <c r="N65" s="5">
        <v>2</v>
      </c>
      <c r="O65" s="5">
        <v>1</v>
      </c>
      <c r="P65" s="5">
        <v>196</v>
      </c>
      <c r="Q65" s="5">
        <v>1</v>
      </c>
      <c r="R65" s="5">
        <v>2</v>
      </c>
      <c r="S65" s="5">
        <v>3</v>
      </c>
      <c r="T65" s="5">
        <v>2</v>
      </c>
      <c r="U65" s="6">
        <f t="shared" si="0"/>
        <v>464</v>
      </c>
      <c r="V65" s="5">
        <v>8</v>
      </c>
    </row>
    <row r="66" spans="1:22" ht="21" customHeight="1" x14ac:dyDescent="0.3">
      <c r="A66" s="17" t="s">
        <v>95</v>
      </c>
      <c r="B66" s="4">
        <v>661</v>
      </c>
      <c r="C66" s="4">
        <v>10</v>
      </c>
      <c r="D66" s="5">
        <v>138</v>
      </c>
      <c r="E66" s="5">
        <v>375</v>
      </c>
      <c r="F66" s="18">
        <v>431</v>
      </c>
      <c r="G66" s="5">
        <v>600</v>
      </c>
      <c r="H66" s="5">
        <v>10</v>
      </c>
      <c r="I66" s="5">
        <v>5</v>
      </c>
      <c r="J66" s="5">
        <v>174</v>
      </c>
      <c r="K66" s="5">
        <v>4</v>
      </c>
      <c r="L66" s="5">
        <v>5</v>
      </c>
      <c r="M66" s="5"/>
      <c r="N66" s="5">
        <v>1</v>
      </c>
      <c r="O66" s="5">
        <v>4</v>
      </c>
      <c r="P66" s="5">
        <v>205</v>
      </c>
      <c r="Q66" s="5"/>
      <c r="R66" s="5">
        <v>2</v>
      </c>
      <c r="S66" s="5">
        <v>6</v>
      </c>
      <c r="T66" s="5">
        <v>1</v>
      </c>
      <c r="U66" s="6">
        <f t="shared" si="0"/>
        <v>417</v>
      </c>
      <c r="V66" s="5">
        <v>14</v>
      </c>
    </row>
    <row r="67" spans="1:22" ht="21" customHeight="1" x14ac:dyDescent="0.3">
      <c r="A67" s="17" t="s">
        <v>113</v>
      </c>
      <c r="B67" s="4"/>
      <c r="C67" s="4">
        <v>73</v>
      </c>
      <c r="D67" s="5"/>
      <c r="E67" s="5"/>
      <c r="F67" s="18">
        <v>68</v>
      </c>
      <c r="G67" s="5">
        <v>100</v>
      </c>
      <c r="H67" s="5"/>
      <c r="I67" s="5"/>
      <c r="J67" s="5">
        <v>7</v>
      </c>
      <c r="K67" s="5"/>
      <c r="L67" s="5"/>
      <c r="M67" s="5">
        <v>1</v>
      </c>
      <c r="N67" s="5"/>
      <c r="O67" s="5"/>
      <c r="P67" s="5">
        <v>10</v>
      </c>
      <c r="Q67" s="5"/>
      <c r="R67" s="5"/>
      <c r="S67" s="5"/>
      <c r="T67" s="5"/>
      <c r="U67" s="6">
        <f t="shared" ref="U67:U74" si="1">SUM(H67:T67)</f>
        <v>18</v>
      </c>
      <c r="V67" s="5"/>
    </row>
    <row r="68" spans="1:22" ht="21" customHeight="1" x14ac:dyDescent="0.3">
      <c r="A68" s="17" t="s">
        <v>114</v>
      </c>
      <c r="B68" s="4"/>
      <c r="C68" s="4">
        <v>156</v>
      </c>
      <c r="D68" s="5"/>
      <c r="E68" s="5"/>
      <c r="F68" s="18">
        <v>47</v>
      </c>
      <c r="G68" s="5">
        <v>200</v>
      </c>
      <c r="H68" s="5"/>
      <c r="I68" s="5"/>
      <c r="J68" s="5">
        <v>7</v>
      </c>
      <c r="K68" s="5">
        <v>2</v>
      </c>
      <c r="L68" s="5"/>
      <c r="M68" s="5">
        <v>1</v>
      </c>
      <c r="N68" s="5"/>
      <c r="O68" s="5"/>
      <c r="P68" s="5">
        <v>25</v>
      </c>
      <c r="Q68" s="5"/>
      <c r="R68" s="5"/>
      <c r="S68" s="5">
        <v>4</v>
      </c>
      <c r="T68" s="5"/>
      <c r="U68" s="6">
        <f t="shared" si="1"/>
        <v>39</v>
      </c>
      <c r="V68" s="5">
        <v>1</v>
      </c>
    </row>
    <row r="69" spans="1:22" ht="21" customHeight="1" x14ac:dyDescent="0.3">
      <c r="A69" s="17" t="s">
        <v>115</v>
      </c>
      <c r="B69" s="4"/>
      <c r="C69" s="4">
        <v>60</v>
      </c>
      <c r="D69" s="5"/>
      <c r="E69" s="5"/>
      <c r="F69" s="18">
        <v>57</v>
      </c>
      <c r="G69" s="5">
        <v>100</v>
      </c>
      <c r="H69" s="5">
        <v>1</v>
      </c>
      <c r="I69" s="5"/>
      <c r="J69" s="5">
        <v>4</v>
      </c>
      <c r="K69" s="5">
        <v>2</v>
      </c>
      <c r="L69" s="5"/>
      <c r="M69" s="5"/>
      <c r="N69" s="5">
        <v>1</v>
      </c>
      <c r="O69" s="5"/>
      <c r="P69" s="5">
        <v>20</v>
      </c>
      <c r="Q69" s="5"/>
      <c r="R69" s="5"/>
      <c r="S69" s="5"/>
      <c r="T69" s="5"/>
      <c r="U69" s="6">
        <f t="shared" si="1"/>
        <v>28</v>
      </c>
      <c r="V69" s="5">
        <v>1</v>
      </c>
    </row>
    <row r="70" spans="1:22" ht="21" customHeight="1" x14ac:dyDescent="0.3">
      <c r="A70" s="17" t="s">
        <v>116</v>
      </c>
      <c r="B70" s="4"/>
      <c r="C70" s="4">
        <v>31</v>
      </c>
      <c r="D70" s="5"/>
      <c r="E70" s="5"/>
      <c r="F70" s="18">
        <v>26</v>
      </c>
      <c r="G70" s="5">
        <v>50</v>
      </c>
      <c r="H70" s="5">
        <v>1</v>
      </c>
      <c r="I70" s="5"/>
      <c r="J70" s="5">
        <v>3</v>
      </c>
      <c r="K70" s="5"/>
      <c r="L70" s="5"/>
      <c r="M70" s="5"/>
      <c r="N70" s="5"/>
      <c r="O70" s="5"/>
      <c r="P70" s="5">
        <v>16</v>
      </c>
      <c r="Q70" s="5">
        <v>1</v>
      </c>
      <c r="R70" s="5"/>
      <c r="S70" s="5">
        <v>1</v>
      </c>
      <c r="T70" s="5"/>
      <c r="U70" s="6">
        <f t="shared" si="1"/>
        <v>22</v>
      </c>
      <c r="V70" s="5"/>
    </row>
    <row r="71" spans="1:22" ht="21" customHeight="1" x14ac:dyDescent="0.3">
      <c r="A71" s="17" t="s">
        <v>96</v>
      </c>
      <c r="B71" s="4">
        <v>865</v>
      </c>
      <c r="C71" s="4">
        <v>7</v>
      </c>
      <c r="D71" s="5">
        <v>180</v>
      </c>
      <c r="E71" s="5">
        <v>418</v>
      </c>
      <c r="F71" s="18">
        <v>496</v>
      </c>
      <c r="G71" s="5">
        <v>800</v>
      </c>
      <c r="H71" s="5">
        <v>10</v>
      </c>
      <c r="I71" s="5">
        <v>2</v>
      </c>
      <c r="J71" s="5">
        <v>110</v>
      </c>
      <c r="K71" s="5">
        <v>43</v>
      </c>
      <c r="L71" s="5">
        <v>2</v>
      </c>
      <c r="M71" s="5">
        <v>5</v>
      </c>
      <c r="N71" s="5">
        <v>1</v>
      </c>
      <c r="O71" s="5">
        <v>3</v>
      </c>
      <c r="P71" s="5">
        <v>275</v>
      </c>
      <c r="Q71" s="5">
        <v>4</v>
      </c>
      <c r="R71" s="5">
        <v>1</v>
      </c>
      <c r="S71" s="5">
        <v>12</v>
      </c>
      <c r="T71" s="5">
        <v>3</v>
      </c>
      <c r="U71" s="6">
        <f t="shared" si="1"/>
        <v>471</v>
      </c>
      <c r="V71" s="5">
        <v>21</v>
      </c>
    </row>
    <row r="72" spans="1:22" ht="21" customHeight="1" x14ac:dyDescent="0.3">
      <c r="A72" s="17" t="s">
        <v>97</v>
      </c>
      <c r="B72" s="4">
        <v>742</v>
      </c>
      <c r="C72" s="4">
        <v>5</v>
      </c>
      <c r="D72" s="5">
        <v>144</v>
      </c>
      <c r="E72" s="5">
        <v>374</v>
      </c>
      <c r="F72" s="18">
        <v>451</v>
      </c>
      <c r="G72" s="5">
        <v>650</v>
      </c>
      <c r="H72" s="5">
        <v>19</v>
      </c>
      <c r="I72" s="5">
        <v>8</v>
      </c>
      <c r="J72" s="5">
        <v>149</v>
      </c>
      <c r="K72" s="5">
        <v>27</v>
      </c>
      <c r="L72" s="5"/>
      <c r="M72" s="5">
        <v>3</v>
      </c>
      <c r="N72" s="5"/>
      <c r="O72" s="5">
        <v>1</v>
      </c>
      <c r="P72" s="5">
        <v>216</v>
      </c>
      <c r="Q72" s="5">
        <v>3</v>
      </c>
      <c r="R72" s="5">
        <v>1</v>
      </c>
      <c r="S72" s="5">
        <v>6</v>
      </c>
      <c r="T72" s="5">
        <v>5</v>
      </c>
      <c r="U72" s="6">
        <f t="shared" si="1"/>
        <v>438</v>
      </c>
      <c r="V72" s="5">
        <v>12</v>
      </c>
    </row>
    <row r="73" spans="1:22" ht="21" customHeight="1" x14ac:dyDescent="0.3">
      <c r="A73" s="17" t="s">
        <v>98</v>
      </c>
      <c r="B73" s="4">
        <v>820</v>
      </c>
      <c r="C73" s="4">
        <v>8</v>
      </c>
      <c r="D73" s="5">
        <v>171</v>
      </c>
      <c r="E73" s="5">
        <v>434</v>
      </c>
      <c r="F73" s="18">
        <v>529</v>
      </c>
      <c r="G73" s="5">
        <v>750</v>
      </c>
      <c r="H73" s="5">
        <v>16</v>
      </c>
      <c r="I73" s="5">
        <v>3</v>
      </c>
      <c r="J73" s="5">
        <v>157</v>
      </c>
      <c r="K73" s="5">
        <v>38</v>
      </c>
      <c r="L73" s="5"/>
      <c r="M73" s="5">
        <v>7</v>
      </c>
      <c r="N73" s="5">
        <v>3</v>
      </c>
      <c r="O73" s="5">
        <v>1</v>
      </c>
      <c r="P73" s="5">
        <v>255</v>
      </c>
      <c r="Q73" s="5">
        <v>4</v>
      </c>
      <c r="R73" s="5">
        <v>5</v>
      </c>
      <c r="S73" s="5">
        <v>8</v>
      </c>
      <c r="T73" s="5">
        <v>5</v>
      </c>
      <c r="U73" s="6">
        <f t="shared" si="1"/>
        <v>502</v>
      </c>
      <c r="V73" s="5">
        <v>23</v>
      </c>
    </row>
    <row r="74" spans="1:22" ht="21" customHeight="1" x14ac:dyDescent="0.3">
      <c r="A74" s="17" t="s">
        <v>99</v>
      </c>
      <c r="B74" s="4">
        <v>579</v>
      </c>
      <c r="C74" s="4">
        <v>1</v>
      </c>
      <c r="D74" s="5">
        <v>112</v>
      </c>
      <c r="E74" s="5">
        <v>283</v>
      </c>
      <c r="F74" s="18">
        <v>373</v>
      </c>
      <c r="G74" s="5">
        <v>500</v>
      </c>
      <c r="H74" s="5">
        <v>3</v>
      </c>
      <c r="I74" s="5">
        <v>1</v>
      </c>
      <c r="J74" s="5">
        <v>107</v>
      </c>
      <c r="K74" s="5">
        <v>20</v>
      </c>
      <c r="L74" s="5"/>
      <c r="M74" s="5">
        <v>16</v>
      </c>
      <c r="N74" s="5">
        <v>1</v>
      </c>
      <c r="O74" s="5">
        <v>2</v>
      </c>
      <c r="P74" s="5">
        <v>195</v>
      </c>
      <c r="Q74" s="5">
        <v>5</v>
      </c>
      <c r="R74" s="5">
        <v>7</v>
      </c>
      <c r="S74" s="5">
        <v>2</v>
      </c>
      <c r="T74" s="5">
        <v>1</v>
      </c>
      <c r="U74" s="6">
        <f t="shared" si="1"/>
        <v>360</v>
      </c>
      <c r="V74" s="5">
        <v>13</v>
      </c>
    </row>
    <row r="75" spans="1:22" ht="21" customHeight="1" x14ac:dyDescent="0.3">
      <c r="A75" s="7"/>
      <c r="B75" s="8">
        <f>SUM(B2:B74)</f>
        <v>70837</v>
      </c>
      <c r="C75" s="8">
        <f t="shared" ref="C75:T75" si="2">SUM(C2:C74)</f>
        <v>737</v>
      </c>
      <c r="D75" s="8">
        <f t="shared" si="2"/>
        <v>13341</v>
      </c>
      <c r="E75" s="8">
        <f>SUM(E2:E74)</f>
        <v>33431</v>
      </c>
      <c r="F75" s="19">
        <f t="shared" si="2"/>
        <v>43375</v>
      </c>
      <c r="G75" s="8">
        <f t="shared" si="2"/>
        <v>64400</v>
      </c>
      <c r="H75" s="8">
        <f t="shared" si="2"/>
        <v>734</v>
      </c>
      <c r="I75" s="8">
        <f t="shared" si="2"/>
        <v>599</v>
      </c>
      <c r="J75" s="8">
        <f t="shared" si="2"/>
        <v>15218</v>
      </c>
      <c r="K75" s="8">
        <f t="shared" si="2"/>
        <v>1367</v>
      </c>
      <c r="L75" s="8">
        <f t="shared" si="2"/>
        <v>156</v>
      </c>
      <c r="M75" s="8">
        <f t="shared" si="2"/>
        <v>576</v>
      </c>
      <c r="N75" s="8">
        <f t="shared" si="2"/>
        <v>184</v>
      </c>
      <c r="O75" s="8">
        <f t="shared" si="2"/>
        <v>208</v>
      </c>
      <c r="P75" s="8">
        <f t="shared" si="2"/>
        <v>20809</v>
      </c>
      <c r="Q75" s="8">
        <f t="shared" si="2"/>
        <v>392</v>
      </c>
      <c r="R75" s="8">
        <f t="shared" si="2"/>
        <v>306</v>
      </c>
      <c r="S75" s="8">
        <f t="shared" si="2"/>
        <v>817</v>
      </c>
      <c r="T75" s="8">
        <f t="shared" si="2"/>
        <v>208</v>
      </c>
      <c r="U75" s="9">
        <f>SUM(U2:U74)</f>
        <v>41574</v>
      </c>
      <c r="V75" s="8">
        <f>SUM(V2:V74)</f>
        <v>1531</v>
      </c>
    </row>
    <row r="76" spans="1:22" ht="21" customHeight="1" x14ac:dyDescent="0.3">
      <c r="A76" s="10"/>
      <c r="B76" s="11"/>
      <c r="C76" s="11"/>
      <c r="D76" s="11"/>
      <c r="E76" s="11"/>
      <c r="F76" s="20"/>
      <c r="G76" s="11"/>
      <c r="H76" s="12">
        <f t="shared" ref="H76:T76" si="3">H75/$U$75</f>
        <v>1.7655265310049552E-2</v>
      </c>
      <c r="I76" s="12">
        <f t="shared" si="3"/>
        <v>1.4408043488718911E-2</v>
      </c>
      <c r="J76" s="12">
        <f t="shared" si="3"/>
        <v>0.36604608649636794</v>
      </c>
      <c r="K76" s="12">
        <f t="shared" si="3"/>
        <v>3.2881127627844328E-2</v>
      </c>
      <c r="L76" s="12">
        <f t="shared" si="3"/>
        <v>3.7523452157598499E-3</v>
      </c>
      <c r="M76" s="12">
        <f t="shared" si="3"/>
        <v>1.3854813104344062E-2</v>
      </c>
      <c r="N76" s="12">
        <f t="shared" si="3"/>
        <v>4.4258430749987976E-3</v>
      </c>
      <c r="O76" s="12">
        <f t="shared" si="3"/>
        <v>5.0031269543464665E-3</v>
      </c>
      <c r="P76" s="12">
        <f>P75/$U$75</f>
        <v>0.50052917688940202</v>
      </c>
      <c r="Q76" s="12">
        <f t="shared" si="3"/>
        <v>9.4289700293452641E-3</v>
      </c>
      <c r="R76" s="12">
        <f t="shared" si="3"/>
        <v>7.3603694616827826E-3</v>
      </c>
      <c r="S76" s="12">
        <f t="shared" si="3"/>
        <v>1.9651705392793574E-2</v>
      </c>
      <c r="T76" s="12">
        <f t="shared" si="3"/>
        <v>5.0031269543464665E-3</v>
      </c>
      <c r="U76" s="13">
        <f>SUM(H76:T76)</f>
        <v>1.0000000000000002</v>
      </c>
      <c r="V76" s="14"/>
    </row>
  </sheetData>
  <conditionalFormatting sqref="E2:F11 F12 E13:F74">
    <cfRule type="expression" dxfId="0" priority="7">
      <formula>E2&lt;D2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სამუშაო ფურცლები</vt:lpstr>
      </vt:variant>
      <vt:variant>
        <vt:i4>2</vt:i4>
      </vt:variant>
    </vt:vector>
  </HeadingPairs>
  <TitlesOfParts>
    <vt:vector size="2" baseType="lpstr">
      <vt:lpstr>პროპ</vt:lpstr>
      <vt:lpstr>მაჟორ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Rusudan Lelashvili</dc:creator>
  <cp:lastModifiedBy>David Sichinava</cp:lastModifiedBy>
  <cp:lastPrinted>2020-11-05T08:06:36Z</cp:lastPrinted>
  <dcterms:created xsi:type="dcterms:W3CDTF">2014-07-31T10:11:31Z</dcterms:created>
  <dcterms:modified xsi:type="dcterms:W3CDTF">2021-04-12T20:18:09Z</dcterms:modified>
</cp:coreProperties>
</file>