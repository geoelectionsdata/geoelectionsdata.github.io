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9E70C8E8-DEA3-452E-8010-25AD2A08114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მაჟორიტარული აჭარა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5" i="8" l="1"/>
  <c r="K45" i="8"/>
  <c r="J45" i="8"/>
  <c r="H45" i="8"/>
  <c r="G45" i="8"/>
  <c r="F45" i="8"/>
  <c r="E45" i="8"/>
  <c r="D45" i="8"/>
  <c r="C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45" i="8" l="1"/>
  <c r="J46" i="8" s="1"/>
  <c r="K46" i="8" l="1"/>
  <c r="L46" i="8" s="1"/>
</calcChain>
</file>

<file path=xl/sharedStrings.xml><?xml version="1.0" encoding="utf-8"?>
<sst xmlns="http://schemas.openxmlformats.org/spreadsheetml/2006/main" count="144" uniqueCount="60">
  <si>
    <t>უბანი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</si>
  <si>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</si>
  <si>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</si>
  <si>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</si>
  <si>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</si>
  <si>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მონაწილე</t>
  </si>
  <si>
    <t>ბათილი ბიულეტენები</t>
  </si>
  <si>
    <t>სულ</t>
  </si>
  <si>
    <t>ნამდვილი ბიულეტენები</t>
  </si>
  <si>
    <t>%</t>
  </si>
  <si>
    <t xml:space="preserve">მიღებული ბიულეტენები </t>
  </si>
  <si>
    <t>ოლქი</t>
  </si>
  <si>
    <t>83-ხელვაჩაური</t>
  </si>
  <si>
    <t>მაჟორიტარული ოლქი</t>
  </si>
  <si>
    <t>30</t>
  </si>
  <si>
    <t xml:space="preserve">30.83.01 </t>
  </si>
  <si>
    <t xml:space="preserve">30.83.02 </t>
  </si>
  <si>
    <t xml:space="preserve">30.83.03 </t>
  </si>
  <si>
    <t xml:space="preserve">30.83.04 </t>
  </si>
  <si>
    <t xml:space="preserve">30.83.05 </t>
  </si>
  <si>
    <t xml:space="preserve">30.83.06 </t>
  </si>
  <si>
    <t xml:space="preserve">30.83.07 </t>
  </si>
  <si>
    <t xml:space="preserve">30.83.12 </t>
  </si>
  <si>
    <t xml:space="preserve">30.83.13 </t>
  </si>
  <si>
    <t xml:space="preserve">30.83.14 </t>
  </si>
  <si>
    <t xml:space="preserve">30.83.15 </t>
  </si>
  <si>
    <t xml:space="preserve">30.83.16 </t>
  </si>
  <si>
    <t xml:space="preserve">30.83.17 </t>
  </si>
  <si>
    <t xml:space="preserve">30.83.18 </t>
  </si>
  <si>
    <t xml:space="preserve">30.83.19 </t>
  </si>
  <si>
    <t xml:space="preserve">30.83.20 </t>
  </si>
  <si>
    <t xml:space="preserve">30.83.21 </t>
  </si>
  <si>
    <t xml:space="preserve">30.83.22 </t>
  </si>
  <si>
    <t xml:space="preserve">30.83.23 </t>
  </si>
  <si>
    <t xml:space="preserve">30.83.24 </t>
  </si>
  <si>
    <t xml:space="preserve">30.83.25 </t>
  </si>
  <si>
    <t xml:space="preserve">30.83.26 </t>
  </si>
  <si>
    <t xml:space="preserve">30.83.27 </t>
  </si>
  <si>
    <t xml:space="preserve">30.83.28 </t>
  </si>
  <si>
    <t xml:space="preserve">30.83.29 </t>
  </si>
  <si>
    <t xml:space="preserve">30.83.30 </t>
  </si>
  <si>
    <t xml:space="preserve">30.83.31 </t>
  </si>
  <si>
    <t xml:space="preserve">30.83.32 </t>
  </si>
  <si>
    <t xml:space="preserve">30.83.33 </t>
  </si>
  <si>
    <t xml:space="preserve">30.83.34 </t>
  </si>
  <si>
    <t xml:space="preserve">30.83.35 </t>
  </si>
  <si>
    <t xml:space="preserve">30.83.36 </t>
  </si>
  <si>
    <t xml:space="preserve">30.83.37 </t>
  </si>
  <si>
    <t xml:space="preserve">30.83.38 </t>
  </si>
  <si>
    <t xml:space="preserve">30.83.39 </t>
  </si>
  <si>
    <t xml:space="preserve">30.83.40 </t>
  </si>
  <si>
    <t xml:space="preserve">30.83.41 </t>
  </si>
  <si>
    <t xml:space="preserve">30.83.42 </t>
  </si>
  <si>
    <t xml:space="preserve">30.83.43 </t>
  </si>
  <si>
    <t xml:space="preserve">30.83.44 </t>
  </si>
  <si>
    <t xml:space="preserve">30.83.45 </t>
  </si>
  <si>
    <t xml:space="preserve">30.83.46 </t>
  </si>
  <si>
    <t>30.83.47</t>
  </si>
  <si>
    <t>5-გია აბულაძე</t>
  </si>
  <si>
    <t>41-ფრიდონ ფუტკარაძე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</si>
</sst>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b/>
      <sz val="9"/>
      <color theme="1"/>
      <name val="Sylfaen"/>
      <family val="1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3" fontId="3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3" fontId="4" fillId="0" borderId="1" xfId="0" applyNumberFormat="1" applyFont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3" fontId="3" fillId="0" borderId="1" xfId="0" applyNumberFormat="1" applyFont="1" applyBorder="1" applyProtection="1"/>
    <xf numFmtId="3" fontId="4" fillId="0" borderId="1" xfId="0" applyNumberFormat="1" applyFont="1" applyBorder="1" applyProtection="1"/>
    <xf numFmtId="0" fontId="3" fillId="0" borderId="0" xfId="0" applyFont="1" applyProtection="1"/>
    <xf numFmtId="9" fontId="4" fillId="0" borderId="0" xfId="1" applyFont="1" applyProtection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0" fontId="0" fillId="0" borderId="1" xfId="0" applyBorder="1"/>
    <xf numFmtId="10" fontId="4" fillId="0" borderId="0" xfId="1" applyNumberFormat="1" applyFont="1" applyProtection="1">
      <protection locked="0"/>
    </xf>
    <xf numFmtId="49" fontId="3" fillId="0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/>
    <xf numFmtId="3" fontId="3" fillId="0" borderId="1" xfId="0" applyNumberFormat="1" applyFont="1" applyFill="1" applyBorder="1" applyProtection="1"/>
    <xf numFmtId="3" fontId="3" fillId="0" borderId="1" xfId="0" applyNumberFormat="1" applyFont="1" applyFill="1" applyBorder="1" applyProtection="1">
      <protection locked="0"/>
    </xf>
    <xf numFmtId="0" fontId="0" fillId="0" borderId="1" xfId="0" applyFill="1" applyBorder="1"/>
    <xf numFmtId="0" fontId="3" fillId="0" borderId="0" xfId="0" applyFont="1" applyFill="1" applyProtection="1">
      <protection locked="0"/>
    </xf>
    <xf numFmtId="0" fontId="3" fillId="0" borderId="0" xfId="0" applyFont="1" applyAlignment="1" applyProtection="1"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vertical="center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2" xfId="0" applyFont="1" applyFill="1" applyBorder="1" applyAlignment="1" applyProtection="1">
      <alignment vertical="center"/>
    </xf>
  </cellXfs>
  <cellStyles count="2">
    <cellStyle name="პროცენტი" xfId="1" builtinId="5"/>
    <cellStyle name="ჩვეულებრივი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"/>
  <sheetViews>
    <sheetView tabSelected="1" topLeftCell="A17" workbookViewId="0">
      <selection activeCell="A44" sqref="A44"/>
    </sheetView>
  </sheetViews>
  <sheetFormatPr defaultColWidth="9.109375" defaultRowHeight="14.4" x14ac:dyDescent="0.3"/>
  <cols>
    <col min="1" max="1" width="9.109375" style="1"/>
    <col min="2" max="2" width="22.88671875" style="6" bestFit="1" customWidth="1"/>
    <col min="3" max="3" width="10.6640625" style="6" customWidth="1"/>
    <col min="4" max="4" width="14.6640625" style="9" customWidth="1"/>
    <col min="5" max="5" width="15" style="1" customWidth="1"/>
    <col min="6" max="6" width="9.77734375" style="1" customWidth="1"/>
    <col min="7" max="7" width="9.88671875" style="1" customWidth="1"/>
    <col min="8" max="8" width="10.21875" style="1" bestFit="1" customWidth="1"/>
    <col min="9" max="9" width="13.77734375" style="1" customWidth="1"/>
    <col min="10" max="10" width="12.6640625" style="1" customWidth="1"/>
    <col min="11" max="11" width="13.88671875" style="1" customWidth="1"/>
    <col min="12" max="12" width="13.6640625" style="9" customWidth="1"/>
    <col min="13" max="13" width="13.6640625" style="1" customWidth="1"/>
    <col min="14" max="16384" width="9.109375" style="1"/>
  </cols>
  <sheetData>
    <row r="1" spans="1:13" s="21" customFormat="1" ht="30" customHeight="1" x14ac:dyDescent="0.3">
      <c r="A1" s="24" t="s">
        <v>13</v>
      </c>
      <c r="B1" s="24" t="s">
        <v>11</v>
      </c>
      <c r="C1" s="24" t="s">
        <v>0</v>
      </c>
      <c r="D1" s="25" t="s">
        <v>1</v>
      </c>
      <c r="E1" s="24" t="s">
        <v>2</v>
      </c>
      <c r="F1" s="24" t="s">
        <v>3</v>
      </c>
      <c r="G1" s="24" t="s">
        <v>4</v>
      </c>
      <c r="H1" s="24" t="s">
        <v>5</v>
      </c>
      <c r="I1" s="24" t="s">
        <v>10</v>
      </c>
      <c r="J1" s="22" t="s">
        <v>58</v>
      </c>
      <c r="K1" s="22" t="s">
        <v>59</v>
      </c>
      <c r="L1" s="23" t="s">
        <v>8</v>
      </c>
      <c r="M1" s="24" t="s">
        <v>6</v>
      </c>
    </row>
    <row r="2" spans="1:13" x14ac:dyDescent="0.3">
      <c r="A2" s="11" t="s">
        <v>14</v>
      </c>
      <c r="B2" s="12" t="s">
        <v>12</v>
      </c>
      <c r="C2" s="12" t="s">
        <v>15</v>
      </c>
      <c r="D2" s="7">
        <v>1269</v>
      </c>
      <c r="E2" s="7">
        <v>6</v>
      </c>
      <c r="F2" s="3">
        <v>103</v>
      </c>
      <c r="G2" s="3">
        <v>296</v>
      </c>
      <c r="H2" s="13">
        <v>374</v>
      </c>
      <c r="I2" s="3">
        <v>1200</v>
      </c>
      <c r="J2" s="3">
        <v>44</v>
      </c>
      <c r="K2" s="3">
        <v>315</v>
      </c>
      <c r="L2" s="7">
        <f t="shared" ref="L2:L44" si="0">SUM(J2:K2)</f>
        <v>359</v>
      </c>
      <c r="M2" s="3">
        <v>15</v>
      </c>
    </row>
    <row r="3" spans="1:13" x14ac:dyDescent="0.3">
      <c r="A3" s="11" t="s">
        <v>14</v>
      </c>
      <c r="B3" s="12" t="s">
        <v>12</v>
      </c>
      <c r="C3" s="12" t="s">
        <v>16</v>
      </c>
      <c r="D3" s="7">
        <v>1144</v>
      </c>
      <c r="E3" s="7">
        <v>9</v>
      </c>
      <c r="F3" s="3">
        <v>81</v>
      </c>
      <c r="G3" s="3">
        <v>225</v>
      </c>
      <c r="H3" s="13">
        <v>310</v>
      </c>
      <c r="I3" s="3">
        <v>1050</v>
      </c>
      <c r="J3" s="3">
        <v>47</v>
      </c>
      <c r="K3" s="3">
        <v>249</v>
      </c>
      <c r="L3" s="7">
        <f t="shared" si="0"/>
        <v>296</v>
      </c>
      <c r="M3" s="3">
        <v>10</v>
      </c>
    </row>
    <row r="4" spans="1:13" x14ac:dyDescent="0.3">
      <c r="A4" s="11" t="s">
        <v>14</v>
      </c>
      <c r="B4" s="12" t="s">
        <v>12</v>
      </c>
      <c r="C4" s="12" t="s">
        <v>17</v>
      </c>
      <c r="D4" s="7">
        <v>1384</v>
      </c>
      <c r="E4" s="7">
        <v>5</v>
      </c>
      <c r="F4" s="3">
        <v>100</v>
      </c>
      <c r="G4" s="3">
        <v>300</v>
      </c>
      <c r="H4" s="13">
        <v>435</v>
      </c>
      <c r="I4" s="3">
        <v>1300</v>
      </c>
      <c r="J4" s="3">
        <v>49</v>
      </c>
      <c r="K4" s="3">
        <v>364</v>
      </c>
      <c r="L4" s="7">
        <f t="shared" si="0"/>
        <v>413</v>
      </c>
      <c r="M4" s="3">
        <v>20</v>
      </c>
    </row>
    <row r="5" spans="1:13" s="20" customFormat="1" x14ac:dyDescent="0.3">
      <c r="A5" s="15" t="s">
        <v>14</v>
      </c>
      <c r="B5" s="16" t="s">
        <v>12</v>
      </c>
      <c r="C5" s="16" t="s">
        <v>18</v>
      </c>
      <c r="D5" s="17">
        <v>535</v>
      </c>
      <c r="E5" s="17">
        <v>3</v>
      </c>
      <c r="F5" s="18">
        <v>41</v>
      </c>
      <c r="G5" s="18">
        <v>100</v>
      </c>
      <c r="H5" s="19">
        <v>136</v>
      </c>
      <c r="I5" s="18">
        <v>500</v>
      </c>
      <c r="J5" s="18">
        <v>12</v>
      </c>
      <c r="K5" s="18">
        <v>122</v>
      </c>
      <c r="L5" s="17">
        <f t="shared" si="0"/>
        <v>134</v>
      </c>
      <c r="M5" s="18">
        <v>2</v>
      </c>
    </row>
    <row r="6" spans="1:13" s="20" customFormat="1" x14ac:dyDescent="0.3">
      <c r="A6" s="15" t="s">
        <v>14</v>
      </c>
      <c r="B6" s="16" t="s">
        <v>12</v>
      </c>
      <c r="C6" s="16" t="s">
        <v>19</v>
      </c>
      <c r="D6" s="17">
        <v>1245</v>
      </c>
      <c r="E6" s="17">
        <v>2</v>
      </c>
      <c r="F6" s="18">
        <v>135</v>
      </c>
      <c r="G6" s="18">
        <v>375</v>
      </c>
      <c r="H6" s="19">
        <v>426</v>
      </c>
      <c r="I6" s="18">
        <v>1150</v>
      </c>
      <c r="J6" s="18">
        <v>44</v>
      </c>
      <c r="K6" s="18">
        <v>368</v>
      </c>
      <c r="L6" s="17">
        <f t="shared" si="0"/>
        <v>412</v>
      </c>
      <c r="M6" s="18">
        <v>13</v>
      </c>
    </row>
    <row r="7" spans="1:13" s="20" customFormat="1" x14ac:dyDescent="0.3">
      <c r="A7" s="15" t="s">
        <v>14</v>
      </c>
      <c r="B7" s="16" t="s">
        <v>12</v>
      </c>
      <c r="C7" s="16" t="s">
        <v>20</v>
      </c>
      <c r="D7" s="17">
        <v>998</v>
      </c>
      <c r="E7" s="17">
        <v>3</v>
      </c>
      <c r="F7" s="18">
        <v>103</v>
      </c>
      <c r="G7" s="18">
        <v>275</v>
      </c>
      <c r="H7" s="19">
        <v>316</v>
      </c>
      <c r="I7" s="18">
        <v>950</v>
      </c>
      <c r="J7" s="18">
        <v>48</v>
      </c>
      <c r="K7" s="18">
        <v>252</v>
      </c>
      <c r="L7" s="17">
        <f t="shared" si="0"/>
        <v>300</v>
      </c>
      <c r="M7" s="18">
        <v>16</v>
      </c>
    </row>
    <row r="8" spans="1:13" x14ac:dyDescent="0.3">
      <c r="A8" s="11" t="s">
        <v>14</v>
      </c>
      <c r="B8" s="12" t="s">
        <v>12</v>
      </c>
      <c r="C8" s="12" t="s">
        <v>21</v>
      </c>
      <c r="D8" s="7">
        <v>799</v>
      </c>
      <c r="E8" s="7">
        <v>1</v>
      </c>
      <c r="F8" s="3">
        <v>59</v>
      </c>
      <c r="G8" s="3">
        <v>171</v>
      </c>
      <c r="H8" s="13">
        <v>206</v>
      </c>
      <c r="I8" s="3">
        <v>750</v>
      </c>
      <c r="J8" s="3">
        <v>19</v>
      </c>
      <c r="K8" s="3">
        <v>183</v>
      </c>
      <c r="L8" s="7">
        <f t="shared" si="0"/>
        <v>202</v>
      </c>
      <c r="M8" s="3">
        <v>4</v>
      </c>
    </row>
    <row r="9" spans="1:13" x14ac:dyDescent="0.3">
      <c r="A9" s="11" t="s">
        <v>14</v>
      </c>
      <c r="B9" s="12" t="s">
        <v>12</v>
      </c>
      <c r="C9" s="12" t="s">
        <v>22</v>
      </c>
      <c r="D9" s="7">
        <v>1338</v>
      </c>
      <c r="E9" s="7">
        <v>3</v>
      </c>
      <c r="F9" s="3">
        <v>96</v>
      </c>
      <c r="G9" s="3">
        <v>255</v>
      </c>
      <c r="H9" s="13">
        <v>321</v>
      </c>
      <c r="I9" s="3">
        <v>1250</v>
      </c>
      <c r="J9" s="3">
        <v>33</v>
      </c>
      <c r="K9" s="3">
        <v>277</v>
      </c>
      <c r="L9" s="7">
        <f t="shared" si="0"/>
        <v>310</v>
      </c>
      <c r="M9" s="3">
        <v>11</v>
      </c>
    </row>
    <row r="10" spans="1:13" s="20" customFormat="1" x14ac:dyDescent="0.3">
      <c r="A10" s="15" t="s">
        <v>14</v>
      </c>
      <c r="B10" s="16" t="s">
        <v>12</v>
      </c>
      <c r="C10" s="16" t="s">
        <v>23</v>
      </c>
      <c r="D10" s="17">
        <v>1219</v>
      </c>
      <c r="E10" s="17">
        <v>0</v>
      </c>
      <c r="F10" s="18">
        <v>110</v>
      </c>
      <c r="G10" s="18">
        <v>288</v>
      </c>
      <c r="H10" s="19">
        <v>332</v>
      </c>
      <c r="I10" s="18">
        <v>1150</v>
      </c>
      <c r="J10" s="18">
        <v>23</v>
      </c>
      <c r="K10" s="18">
        <v>298</v>
      </c>
      <c r="L10" s="17">
        <f t="shared" si="0"/>
        <v>321</v>
      </c>
      <c r="M10" s="18">
        <v>11</v>
      </c>
    </row>
    <row r="11" spans="1:13" x14ac:dyDescent="0.3">
      <c r="A11" s="11" t="s">
        <v>14</v>
      </c>
      <c r="B11" s="12" t="s">
        <v>12</v>
      </c>
      <c r="C11" s="12" t="s">
        <v>24</v>
      </c>
      <c r="D11" s="7">
        <v>1311</v>
      </c>
      <c r="E11" s="7">
        <v>4</v>
      </c>
      <c r="F11" s="3">
        <v>101</v>
      </c>
      <c r="G11" s="3">
        <v>253</v>
      </c>
      <c r="H11" s="13">
        <v>353</v>
      </c>
      <c r="I11" s="3">
        <v>1200</v>
      </c>
      <c r="J11" s="3">
        <v>32</v>
      </c>
      <c r="K11" s="3">
        <v>311</v>
      </c>
      <c r="L11" s="7">
        <f t="shared" si="0"/>
        <v>343</v>
      </c>
      <c r="M11" s="3">
        <v>10</v>
      </c>
    </row>
    <row r="12" spans="1:13" x14ac:dyDescent="0.3">
      <c r="A12" s="11" t="s">
        <v>14</v>
      </c>
      <c r="B12" s="12" t="s">
        <v>12</v>
      </c>
      <c r="C12" s="12" t="s">
        <v>25</v>
      </c>
      <c r="D12" s="7">
        <v>1395</v>
      </c>
      <c r="E12" s="7">
        <v>0</v>
      </c>
      <c r="F12" s="3">
        <v>102</v>
      </c>
      <c r="G12" s="3">
        <v>265</v>
      </c>
      <c r="H12" s="13">
        <v>321</v>
      </c>
      <c r="I12" s="3">
        <v>1250</v>
      </c>
      <c r="J12" s="3">
        <v>39</v>
      </c>
      <c r="K12" s="3">
        <v>272</v>
      </c>
      <c r="L12" s="7">
        <f t="shared" si="0"/>
        <v>311</v>
      </c>
      <c r="M12" s="3">
        <v>10</v>
      </c>
    </row>
    <row r="13" spans="1:13" x14ac:dyDescent="0.3">
      <c r="A13" s="11" t="s">
        <v>14</v>
      </c>
      <c r="B13" s="12" t="s">
        <v>12</v>
      </c>
      <c r="C13" s="12" t="s">
        <v>26</v>
      </c>
      <c r="D13" s="7">
        <v>1188</v>
      </c>
      <c r="E13" s="7">
        <v>0</v>
      </c>
      <c r="F13" s="3">
        <v>105</v>
      </c>
      <c r="G13" s="3">
        <v>250</v>
      </c>
      <c r="H13" s="13">
        <v>331</v>
      </c>
      <c r="I13" s="3">
        <v>1100</v>
      </c>
      <c r="J13" s="3">
        <v>41</v>
      </c>
      <c r="K13" s="3">
        <v>284</v>
      </c>
      <c r="L13" s="7">
        <f t="shared" si="0"/>
        <v>325</v>
      </c>
      <c r="M13" s="3">
        <v>6</v>
      </c>
    </row>
    <row r="14" spans="1:13" x14ac:dyDescent="0.3">
      <c r="A14" s="11" t="s">
        <v>14</v>
      </c>
      <c r="B14" s="12" t="s">
        <v>12</v>
      </c>
      <c r="C14" s="12" t="s">
        <v>27</v>
      </c>
      <c r="D14" s="7">
        <v>1325</v>
      </c>
      <c r="E14" s="7">
        <v>3</v>
      </c>
      <c r="F14" s="3">
        <v>83</v>
      </c>
      <c r="G14" s="3">
        <v>239</v>
      </c>
      <c r="H14" s="13">
        <v>326</v>
      </c>
      <c r="I14" s="3">
        <v>1250</v>
      </c>
      <c r="J14" s="3">
        <v>34</v>
      </c>
      <c r="K14" s="3">
        <v>283</v>
      </c>
      <c r="L14" s="7">
        <f t="shared" si="0"/>
        <v>317</v>
      </c>
      <c r="M14" s="3">
        <v>7</v>
      </c>
    </row>
    <row r="15" spans="1:13" x14ac:dyDescent="0.3">
      <c r="A15" s="11" t="s">
        <v>14</v>
      </c>
      <c r="B15" s="12" t="s">
        <v>12</v>
      </c>
      <c r="C15" s="12" t="s">
        <v>28</v>
      </c>
      <c r="D15" s="7">
        <v>1340</v>
      </c>
      <c r="E15" s="7">
        <v>3</v>
      </c>
      <c r="F15" s="3">
        <v>53</v>
      </c>
      <c r="G15" s="3">
        <v>182</v>
      </c>
      <c r="H15" s="13">
        <v>244</v>
      </c>
      <c r="I15" s="3">
        <v>1200</v>
      </c>
      <c r="J15" s="3">
        <v>25</v>
      </c>
      <c r="K15" s="3">
        <v>213</v>
      </c>
      <c r="L15" s="7">
        <f t="shared" si="0"/>
        <v>238</v>
      </c>
      <c r="M15" s="3">
        <v>6</v>
      </c>
    </row>
    <row r="16" spans="1:13" x14ac:dyDescent="0.3">
      <c r="A16" s="11" t="s">
        <v>14</v>
      </c>
      <c r="B16" s="12" t="s">
        <v>12</v>
      </c>
      <c r="C16" s="12" t="s">
        <v>29</v>
      </c>
      <c r="D16" s="7">
        <v>1283</v>
      </c>
      <c r="E16" s="7">
        <v>5</v>
      </c>
      <c r="F16" s="3">
        <v>97</v>
      </c>
      <c r="G16" s="3">
        <v>202</v>
      </c>
      <c r="H16" s="13">
        <v>240</v>
      </c>
      <c r="I16" s="3">
        <v>1150</v>
      </c>
      <c r="J16" s="3">
        <v>30</v>
      </c>
      <c r="K16" s="3">
        <v>202</v>
      </c>
      <c r="L16" s="7">
        <f t="shared" si="0"/>
        <v>232</v>
      </c>
      <c r="M16" s="3">
        <v>8</v>
      </c>
    </row>
    <row r="17" spans="1:13" x14ac:dyDescent="0.3">
      <c r="A17" s="11" t="s">
        <v>14</v>
      </c>
      <c r="B17" s="12" t="s">
        <v>12</v>
      </c>
      <c r="C17" s="12" t="s">
        <v>30</v>
      </c>
      <c r="D17" s="7">
        <v>1013</v>
      </c>
      <c r="E17" s="7">
        <v>7</v>
      </c>
      <c r="F17" s="3">
        <v>80</v>
      </c>
      <c r="G17" s="3">
        <v>187</v>
      </c>
      <c r="H17" s="13">
        <v>224</v>
      </c>
      <c r="I17" s="3">
        <v>900</v>
      </c>
      <c r="J17" s="3">
        <v>29</v>
      </c>
      <c r="K17" s="3">
        <v>183</v>
      </c>
      <c r="L17" s="7">
        <f t="shared" si="0"/>
        <v>212</v>
      </c>
      <c r="M17" s="3">
        <v>12</v>
      </c>
    </row>
    <row r="18" spans="1:13" s="20" customFormat="1" x14ac:dyDescent="0.3">
      <c r="A18" s="15" t="s">
        <v>14</v>
      </c>
      <c r="B18" s="16" t="s">
        <v>12</v>
      </c>
      <c r="C18" s="16" t="s">
        <v>31</v>
      </c>
      <c r="D18" s="17">
        <v>1198</v>
      </c>
      <c r="E18" s="17">
        <v>3</v>
      </c>
      <c r="F18" s="18">
        <v>104</v>
      </c>
      <c r="G18" s="18">
        <v>210</v>
      </c>
      <c r="H18" s="19">
        <v>270</v>
      </c>
      <c r="I18" s="18">
        <v>1100</v>
      </c>
      <c r="J18" s="18">
        <v>27</v>
      </c>
      <c r="K18" s="18">
        <v>233</v>
      </c>
      <c r="L18" s="17">
        <f t="shared" si="0"/>
        <v>260</v>
      </c>
      <c r="M18" s="18">
        <v>10</v>
      </c>
    </row>
    <row r="19" spans="1:13" x14ac:dyDescent="0.3">
      <c r="A19" s="11" t="s">
        <v>14</v>
      </c>
      <c r="B19" s="12" t="s">
        <v>12</v>
      </c>
      <c r="C19" s="12" t="s">
        <v>32</v>
      </c>
      <c r="D19" s="7">
        <v>1131</v>
      </c>
      <c r="E19" s="7">
        <v>3</v>
      </c>
      <c r="F19" s="3">
        <v>96</v>
      </c>
      <c r="G19" s="3">
        <v>188</v>
      </c>
      <c r="H19" s="13">
        <v>290</v>
      </c>
      <c r="I19" s="3">
        <v>1050</v>
      </c>
      <c r="J19" s="3">
        <v>26</v>
      </c>
      <c r="K19" s="3">
        <v>253</v>
      </c>
      <c r="L19" s="7">
        <f t="shared" si="0"/>
        <v>279</v>
      </c>
      <c r="M19" s="3">
        <v>11</v>
      </c>
    </row>
    <row r="20" spans="1:13" x14ac:dyDescent="0.3">
      <c r="A20" s="11" t="s">
        <v>14</v>
      </c>
      <c r="B20" s="12" t="s">
        <v>12</v>
      </c>
      <c r="C20" s="12" t="s">
        <v>33</v>
      </c>
      <c r="D20" s="7">
        <v>928</v>
      </c>
      <c r="E20" s="7">
        <v>4</v>
      </c>
      <c r="F20" s="3">
        <v>105</v>
      </c>
      <c r="G20" s="3">
        <v>220</v>
      </c>
      <c r="H20" s="13">
        <v>262</v>
      </c>
      <c r="I20" s="3">
        <v>850</v>
      </c>
      <c r="J20" s="3">
        <v>46</v>
      </c>
      <c r="K20" s="3">
        <v>206</v>
      </c>
      <c r="L20" s="7">
        <f t="shared" si="0"/>
        <v>252</v>
      </c>
      <c r="M20" s="3">
        <v>10</v>
      </c>
    </row>
    <row r="21" spans="1:13" x14ac:dyDescent="0.3">
      <c r="A21" s="11" t="s">
        <v>14</v>
      </c>
      <c r="B21" s="12" t="s">
        <v>12</v>
      </c>
      <c r="C21" s="12" t="s">
        <v>34</v>
      </c>
      <c r="D21" s="7">
        <v>1398</v>
      </c>
      <c r="E21" s="7">
        <v>2</v>
      </c>
      <c r="F21" s="3">
        <v>100</v>
      </c>
      <c r="G21" s="3">
        <v>263</v>
      </c>
      <c r="H21" s="13">
        <v>328</v>
      </c>
      <c r="I21" s="3">
        <v>1300</v>
      </c>
      <c r="J21" s="3">
        <v>7</v>
      </c>
      <c r="K21" s="3">
        <v>316</v>
      </c>
      <c r="L21" s="7">
        <f t="shared" si="0"/>
        <v>323</v>
      </c>
      <c r="M21" s="3">
        <v>5</v>
      </c>
    </row>
    <row r="22" spans="1:13" x14ac:dyDescent="0.3">
      <c r="A22" s="11" t="s">
        <v>14</v>
      </c>
      <c r="B22" s="12" t="s">
        <v>12</v>
      </c>
      <c r="C22" s="12" t="s">
        <v>35</v>
      </c>
      <c r="D22" s="7">
        <v>557</v>
      </c>
      <c r="E22" s="7">
        <v>3</v>
      </c>
      <c r="F22" s="3">
        <v>46</v>
      </c>
      <c r="G22" s="3">
        <v>135</v>
      </c>
      <c r="H22" s="13">
        <v>191</v>
      </c>
      <c r="I22" s="3">
        <v>500</v>
      </c>
      <c r="J22" s="3">
        <v>8</v>
      </c>
      <c r="K22" s="3">
        <v>182</v>
      </c>
      <c r="L22" s="7">
        <f t="shared" si="0"/>
        <v>190</v>
      </c>
      <c r="M22" s="3">
        <v>1</v>
      </c>
    </row>
    <row r="23" spans="1:13" s="20" customFormat="1" x14ac:dyDescent="0.3">
      <c r="A23" s="15" t="s">
        <v>14</v>
      </c>
      <c r="B23" s="16" t="s">
        <v>12</v>
      </c>
      <c r="C23" s="16" t="s">
        <v>36</v>
      </c>
      <c r="D23" s="17">
        <v>366</v>
      </c>
      <c r="E23" s="17">
        <v>5</v>
      </c>
      <c r="F23" s="18">
        <v>41</v>
      </c>
      <c r="G23" s="18">
        <v>70</v>
      </c>
      <c r="H23" s="19">
        <v>92</v>
      </c>
      <c r="I23" s="18">
        <v>350</v>
      </c>
      <c r="J23" s="18">
        <v>14</v>
      </c>
      <c r="K23" s="18">
        <v>74</v>
      </c>
      <c r="L23" s="17">
        <f t="shared" si="0"/>
        <v>88</v>
      </c>
      <c r="M23" s="18">
        <v>4</v>
      </c>
    </row>
    <row r="24" spans="1:13" x14ac:dyDescent="0.3">
      <c r="A24" s="11" t="s">
        <v>14</v>
      </c>
      <c r="B24" s="12" t="s">
        <v>12</v>
      </c>
      <c r="C24" s="12" t="s">
        <v>37</v>
      </c>
      <c r="D24" s="7">
        <v>738</v>
      </c>
      <c r="E24" s="7">
        <v>33</v>
      </c>
      <c r="F24" s="3">
        <v>74</v>
      </c>
      <c r="G24" s="3">
        <v>251</v>
      </c>
      <c r="H24" s="13">
        <v>296</v>
      </c>
      <c r="I24" s="3">
        <v>700</v>
      </c>
      <c r="J24" s="3">
        <v>25</v>
      </c>
      <c r="K24" s="3">
        <v>253</v>
      </c>
      <c r="L24" s="7">
        <f t="shared" si="0"/>
        <v>278</v>
      </c>
      <c r="M24" s="3">
        <v>11</v>
      </c>
    </row>
    <row r="25" spans="1:13" s="20" customFormat="1" x14ac:dyDescent="0.3">
      <c r="A25" s="15" t="s">
        <v>14</v>
      </c>
      <c r="B25" s="16" t="s">
        <v>12</v>
      </c>
      <c r="C25" s="16" t="s">
        <v>38</v>
      </c>
      <c r="D25" s="17">
        <v>1226</v>
      </c>
      <c r="E25" s="17">
        <v>6</v>
      </c>
      <c r="F25" s="18">
        <v>170</v>
      </c>
      <c r="G25" s="18">
        <v>377</v>
      </c>
      <c r="H25" s="19">
        <v>439</v>
      </c>
      <c r="I25" s="18">
        <v>1100</v>
      </c>
      <c r="J25" s="18">
        <v>75</v>
      </c>
      <c r="K25" s="18">
        <v>329</v>
      </c>
      <c r="L25" s="17">
        <f t="shared" si="0"/>
        <v>404</v>
      </c>
      <c r="M25" s="18">
        <v>34</v>
      </c>
    </row>
    <row r="26" spans="1:13" s="20" customFormat="1" x14ac:dyDescent="0.3">
      <c r="A26" s="15" t="s">
        <v>14</v>
      </c>
      <c r="B26" s="16" t="s">
        <v>12</v>
      </c>
      <c r="C26" s="16" t="s">
        <v>39</v>
      </c>
      <c r="D26" s="17">
        <v>1276</v>
      </c>
      <c r="E26" s="17">
        <v>5</v>
      </c>
      <c r="F26" s="18">
        <v>127</v>
      </c>
      <c r="G26" s="18">
        <v>339</v>
      </c>
      <c r="H26" s="19">
        <v>397</v>
      </c>
      <c r="I26" s="18">
        <v>1150</v>
      </c>
      <c r="J26" s="18">
        <v>71</v>
      </c>
      <c r="K26" s="18">
        <v>310</v>
      </c>
      <c r="L26" s="17">
        <f t="shared" si="0"/>
        <v>381</v>
      </c>
      <c r="M26" s="18">
        <v>16</v>
      </c>
    </row>
    <row r="27" spans="1:13" s="20" customFormat="1" x14ac:dyDescent="0.3">
      <c r="A27" s="15" t="s">
        <v>14</v>
      </c>
      <c r="B27" s="16" t="s">
        <v>12</v>
      </c>
      <c r="C27" s="16" t="s">
        <v>40</v>
      </c>
      <c r="D27" s="17">
        <v>1435</v>
      </c>
      <c r="E27" s="17">
        <v>1</v>
      </c>
      <c r="F27" s="18">
        <v>185</v>
      </c>
      <c r="G27" s="18">
        <v>404</v>
      </c>
      <c r="H27" s="19">
        <v>497</v>
      </c>
      <c r="I27" s="18">
        <v>1350</v>
      </c>
      <c r="J27" s="18">
        <v>95</v>
      </c>
      <c r="K27" s="18">
        <v>390</v>
      </c>
      <c r="L27" s="17">
        <f t="shared" si="0"/>
        <v>485</v>
      </c>
      <c r="M27" s="18">
        <v>12</v>
      </c>
    </row>
    <row r="28" spans="1:13" s="20" customFormat="1" x14ac:dyDescent="0.3">
      <c r="A28" s="15" t="s">
        <v>14</v>
      </c>
      <c r="B28" s="16" t="s">
        <v>12</v>
      </c>
      <c r="C28" s="16" t="s">
        <v>41</v>
      </c>
      <c r="D28" s="17">
        <v>1155</v>
      </c>
      <c r="E28" s="17">
        <v>6</v>
      </c>
      <c r="F28" s="18">
        <v>110</v>
      </c>
      <c r="G28" s="18">
        <v>324</v>
      </c>
      <c r="H28" s="19">
        <v>430</v>
      </c>
      <c r="I28" s="18">
        <v>1050</v>
      </c>
      <c r="J28" s="18">
        <v>75</v>
      </c>
      <c r="K28" s="18">
        <v>342</v>
      </c>
      <c r="L28" s="17">
        <f t="shared" si="0"/>
        <v>417</v>
      </c>
      <c r="M28" s="18">
        <v>13</v>
      </c>
    </row>
    <row r="29" spans="1:13" s="20" customFormat="1" x14ac:dyDescent="0.3">
      <c r="A29" s="15" t="s">
        <v>14</v>
      </c>
      <c r="B29" s="16" t="s">
        <v>12</v>
      </c>
      <c r="C29" s="16" t="s">
        <v>42</v>
      </c>
      <c r="D29" s="17">
        <v>1023</v>
      </c>
      <c r="E29" s="17">
        <v>6</v>
      </c>
      <c r="F29" s="18">
        <v>120</v>
      </c>
      <c r="G29" s="18">
        <v>296</v>
      </c>
      <c r="H29" s="19">
        <v>358</v>
      </c>
      <c r="I29" s="18">
        <v>900</v>
      </c>
      <c r="J29" s="18">
        <v>45</v>
      </c>
      <c r="K29" s="18">
        <v>308</v>
      </c>
      <c r="L29" s="17">
        <f t="shared" si="0"/>
        <v>353</v>
      </c>
      <c r="M29" s="18">
        <v>5</v>
      </c>
    </row>
    <row r="30" spans="1:13" x14ac:dyDescent="0.3">
      <c r="A30" s="11" t="s">
        <v>14</v>
      </c>
      <c r="B30" s="12" t="s">
        <v>12</v>
      </c>
      <c r="C30" s="12" t="s">
        <v>43</v>
      </c>
      <c r="D30" s="7">
        <v>1180</v>
      </c>
      <c r="E30" s="7">
        <v>2</v>
      </c>
      <c r="F30" s="3">
        <v>105</v>
      </c>
      <c r="G30" s="3">
        <v>276</v>
      </c>
      <c r="H30" s="13">
        <v>357</v>
      </c>
      <c r="I30" s="3">
        <v>1100</v>
      </c>
      <c r="J30" s="3">
        <v>57</v>
      </c>
      <c r="K30" s="3">
        <v>283</v>
      </c>
      <c r="L30" s="7">
        <f t="shared" si="0"/>
        <v>340</v>
      </c>
      <c r="M30" s="3">
        <v>16</v>
      </c>
    </row>
    <row r="31" spans="1:13" x14ac:dyDescent="0.3">
      <c r="A31" s="11" t="s">
        <v>14</v>
      </c>
      <c r="B31" s="12" t="s">
        <v>12</v>
      </c>
      <c r="C31" s="12" t="s">
        <v>44</v>
      </c>
      <c r="D31" s="7">
        <v>846</v>
      </c>
      <c r="E31" s="7">
        <v>3</v>
      </c>
      <c r="F31" s="3">
        <v>51</v>
      </c>
      <c r="G31" s="3">
        <v>167</v>
      </c>
      <c r="H31" s="13">
        <v>241</v>
      </c>
      <c r="I31" s="3">
        <v>800</v>
      </c>
      <c r="J31" s="3">
        <v>32</v>
      </c>
      <c r="K31" s="3">
        <v>197</v>
      </c>
      <c r="L31" s="7">
        <f t="shared" si="0"/>
        <v>229</v>
      </c>
      <c r="M31" s="3">
        <v>12</v>
      </c>
    </row>
    <row r="32" spans="1:13" x14ac:dyDescent="0.3">
      <c r="A32" s="11" t="s">
        <v>14</v>
      </c>
      <c r="B32" s="12" t="s">
        <v>12</v>
      </c>
      <c r="C32" s="12" t="s">
        <v>45</v>
      </c>
      <c r="D32" s="7">
        <v>1490</v>
      </c>
      <c r="E32" s="7">
        <v>5</v>
      </c>
      <c r="F32" s="3">
        <v>155</v>
      </c>
      <c r="G32" s="3">
        <v>426</v>
      </c>
      <c r="H32" s="13">
        <v>506</v>
      </c>
      <c r="I32" s="3">
        <v>1400</v>
      </c>
      <c r="J32" s="3">
        <v>70</v>
      </c>
      <c r="K32" s="3">
        <v>424</v>
      </c>
      <c r="L32" s="7">
        <f t="shared" si="0"/>
        <v>494</v>
      </c>
      <c r="M32" s="3">
        <v>12</v>
      </c>
    </row>
    <row r="33" spans="1:13" s="20" customFormat="1" x14ac:dyDescent="0.3">
      <c r="A33" s="15" t="s">
        <v>14</v>
      </c>
      <c r="B33" s="16" t="s">
        <v>12</v>
      </c>
      <c r="C33" s="16" t="s">
        <v>46</v>
      </c>
      <c r="D33" s="17">
        <v>538</v>
      </c>
      <c r="E33" s="17">
        <v>0</v>
      </c>
      <c r="F33" s="18">
        <v>71</v>
      </c>
      <c r="G33" s="18">
        <v>175</v>
      </c>
      <c r="H33" s="19">
        <v>207</v>
      </c>
      <c r="I33" s="18">
        <v>500</v>
      </c>
      <c r="J33" s="18">
        <v>34</v>
      </c>
      <c r="K33" s="18">
        <v>168</v>
      </c>
      <c r="L33" s="17">
        <f t="shared" si="0"/>
        <v>202</v>
      </c>
      <c r="M33" s="18">
        <v>5</v>
      </c>
    </row>
    <row r="34" spans="1:13" s="20" customFormat="1" x14ac:dyDescent="0.3">
      <c r="A34" s="15" t="s">
        <v>14</v>
      </c>
      <c r="B34" s="16" t="s">
        <v>12</v>
      </c>
      <c r="C34" s="16" t="s">
        <v>47</v>
      </c>
      <c r="D34" s="17">
        <v>1339</v>
      </c>
      <c r="E34" s="17">
        <v>2</v>
      </c>
      <c r="F34" s="18">
        <v>244</v>
      </c>
      <c r="G34" s="18">
        <v>450</v>
      </c>
      <c r="H34" s="19">
        <v>580</v>
      </c>
      <c r="I34" s="18">
        <v>1250</v>
      </c>
      <c r="J34" s="18">
        <v>46</v>
      </c>
      <c r="K34" s="18">
        <v>522</v>
      </c>
      <c r="L34" s="17">
        <f t="shared" si="0"/>
        <v>568</v>
      </c>
      <c r="M34" s="18">
        <v>12</v>
      </c>
    </row>
    <row r="35" spans="1:13" x14ac:dyDescent="0.3">
      <c r="A35" s="11" t="s">
        <v>14</v>
      </c>
      <c r="B35" s="12" t="s">
        <v>12</v>
      </c>
      <c r="C35" s="12" t="s">
        <v>48</v>
      </c>
      <c r="D35" s="7">
        <v>619</v>
      </c>
      <c r="E35" s="7">
        <v>0</v>
      </c>
      <c r="F35" s="3">
        <v>100</v>
      </c>
      <c r="G35" s="3">
        <v>204</v>
      </c>
      <c r="H35" s="13">
        <v>234</v>
      </c>
      <c r="I35" s="3">
        <v>550</v>
      </c>
      <c r="J35" s="3">
        <v>18</v>
      </c>
      <c r="K35" s="3">
        <v>208</v>
      </c>
      <c r="L35" s="7">
        <f t="shared" si="0"/>
        <v>226</v>
      </c>
      <c r="M35" s="3">
        <v>8</v>
      </c>
    </row>
    <row r="36" spans="1:13" x14ac:dyDescent="0.3">
      <c r="A36" s="11" t="s">
        <v>14</v>
      </c>
      <c r="B36" s="12" t="s">
        <v>12</v>
      </c>
      <c r="C36" s="12" t="s">
        <v>49</v>
      </c>
      <c r="D36" s="7">
        <v>579</v>
      </c>
      <c r="E36" s="7">
        <v>1</v>
      </c>
      <c r="F36" s="3">
        <v>96</v>
      </c>
      <c r="G36" s="3">
        <v>190</v>
      </c>
      <c r="H36" s="13">
        <v>204</v>
      </c>
      <c r="I36" s="3">
        <v>550</v>
      </c>
      <c r="J36" s="3">
        <v>21</v>
      </c>
      <c r="K36" s="3">
        <v>179</v>
      </c>
      <c r="L36" s="7">
        <f t="shared" si="0"/>
        <v>200</v>
      </c>
      <c r="M36" s="3">
        <v>4</v>
      </c>
    </row>
    <row r="37" spans="1:13" x14ac:dyDescent="0.3">
      <c r="A37" s="11" t="s">
        <v>14</v>
      </c>
      <c r="B37" s="12" t="s">
        <v>12</v>
      </c>
      <c r="C37" s="12" t="s">
        <v>50</v>
      </c>
      <c r="D37" s="7">
        <v>308</v>
      </c>
      <c r="E37" s="7">
        <v>1</v>
      </c>
      <c r="F37" s="3">
        <v>39</v>
      </c>
      <c r="G37" s="3">
        <v>119</v>
      </c>
      <c r="H37" s="13">
        <v>142</v>
      </c>
      <c r="I37" s="3">
        <v>300</v>
      </c>
      <c r="J37" s="3">
        <v>25</v>
      </c>
      <c r="K37" s="3">
        <v>106</v>
      </c>
      <c r="L37" s="7">
        <f t="shared" si="0"/>
        <v>131</v>
      </c>
      <c r="M37" s="3">
        <v>11</v>
      </c>
    </row>
    <row r="38" spans="1:13" x14ac:dyDescent="0.3">
      <c r="A38" s="11" t="s">
        <v>14</v>
      </c>
      <c r="B38" s="12" t="s">
        <v>12</v>
      </c>
      <c r="C38" s="12" t="s">
        <v>51</v>
      </c>
      <c r="D38" s="7">
        <v>511</v>
      </c>
      <c r="E38" s="7">
        <v>1</v>
      </c>
      <c r="F38" s="3">
        <v>37</v>
      </c>
      <c r="G38" s="3">
        <v>219</v>
      </c>
      <c r="H38" s="13">
        <v>254</v>
      </c>
      <c r="I38" s="3">
        <v>500</v>
      </c>
      <c r="J38" s="3">
        <v>24</v>
      </c>
      <c r="K38" s="3">
        <v>226</v>
      </c>
      <c r="L38" s="7">
        <f t="shared" si="0"/>
        <v>250</v>
      </c>
      <c r="M38" s="3">
        <v>4</v>
      </c>
    </row>
    <row r="39" spans="1:13" x14ac:dyDescent="0.3">
      <c r="A39" s="11" t="s">
        <v>14</v>
      </c>
      <c r="B39" s="12" t="s">
        <v>12</v>
      </c>
      <c r="C39" s="12" t="s">
        <v>52</v>
      </c>
      <c r="D39" s="7">
        <v>323</v>
      </c>
      <c r="E39" s="7">
        <v>17</v>
      </c>
      <c r="F39" s="3">
        <v>71</v>
      </c>
      <c r="G39" s="3">
        <v>158</v>
      </c>
      <c r="H39" s="13">
        <v>178</v>
      </c>
      <c r="I39" s="3">
        <v>350</v>
      </c>
      <c r="J39" s="3">
        <v>22</v>
      </c>
      <c r="K39" s="3">
        <v>134</v>
      </c>
      <c r="L39" s="7">
        <f t="shared" si="0"/>
        <v>156</v>
      </c>
      <c r="M39" s="3">
        <v>9</v>
      </c>
    </row>
    <row r="40" spans="1:13" x14ac:dyDescent="0.3">
      <c r="A40" s="11" t="s">
        <v>14</v>
      </c>
      <c r="B40" s="12" t="s">
        <v>12</v>
      </c>
      <c r="C40" s="12" t="s">
        <v>53</v>
      </c>
      <c r="D40" s="7">
        <v>783</v>
      </c>
      <c r="E40" s="7">
        <v>23</v>
      </c>
      <c r="F40" s="3">
        <v>115</v>
      </c>
      <c r="G40" s="3">
        <v>302</v>
      </c>
      <c r="H40" s="13">
        <v>364</v>
      </c>
      <c r="I40" s="3">
        <v>750</v>
      </c>
      <c r="J40" s="3">
        <v>49</v>
      </c>
      <c r="K40" s="3">
        <v>281</v>
      </c>
      <c r="L40" s="7">
        <f t="shared" si="0"/>
        <v>330</v>
      </c>
      <c r="M40" s="3">
        <v>14</v>
      </c>
    </row>
    <row r="41" spans="1:13" s="20" customFormat="1" x14ac:dyDescent="0.3">
      <c r="A41" s="15" t="s">
        <v>14</v>
      </c>
      <c r="B41" s="16" t="s">
        <v>12</v>
      </c>
      <c r="C41" s="16" t="s">
        <v>54</v>
      </c>
      <c r="D41" s="17">
        <v>530</v>
      </c>
      <c r="E41" s="17">
        <v>0</v>
      </c>
      <c r="F41" s="18">
        <v>81</v>
      </c>
      <c r="G41" s="18">
        <v>195</v>
      </c>
      <c r="H41" s="19">
        <v>248</v>
      </c>
      <c r="I41" s="18">
        <v>500</v>
      </c>
      <c r="J41" s="18">
        <v>27</v>
      </c>
      <c r="K41" s="18">
        <v>211</v>
      </c>
      <c r="L41" s="17">
        <f t="shared" si="0"/>
        <v>238</v>
      </c>
      <c r="M41" s="18">
        <v>10</v>
      </c>
    </row>
    <row r="42" spans="1:13" x14ac:dyDescent="0.3">
      <c r="A42" s="11" t="s">
        <v>14</v>
      </c>
      <c r="B42" s="12" t="s">
        <v>12</v>
      </c>
      <c r="C42" s="12" t="s">
        <v>55</v>
      </c>
      <c r="D42" s="7">
        <v>854</v>
      </c>
      <c r="E42" s="7">
        <v>7</v>
      </c>
      <c r="F42" s="3">
        <v>56</v>
      </c>
      <c r="G42" s="3">
        <v>132</v>
      </c>
      <c r="H42" s="13">
        <v>151</v>
      </c>
      <c r="I42" s="3">
        <v>800</v>
      </c>
      <c r="J42" s="3">
        <v>21</v>
      </c>
      <c r="K42" s="3">
        <v>121</v>
      </c>
      <c r="L42" s="7">
        <f t="shared" si="0"/>
        <v>142</v>
      </c>
      <c r="M42" s="3">
        <v>9</v>
      </c>
    </row>
    <row r="43" spans="1:13" x14ac:dyDescent="0.3">
      <c r="A43" s="11" t="s">
        <v>14</v>
      </c>
      <c r="B43" s="12" t="s">
        <v>12</v>
      </c>
      <c r="C43" s="12" t="s">
        <v>56</v>
      </c>
      <c r="D43" s="7">
        <v>542</v>
      </c>
      <c r="E43" s="7">
        <v>3</v>
      </c>
      <c r="F43" s="3">
        <v>88</v>
      </c>
      <c r="G43" s="3">
        <v>186</v>
      </c>
      <c r="H43" s="13">
        <v>214</v>
      </c>
      <c r="I43" s="3">
        <v>500</v>
      </c>
      <c r="J43" s="3">
        <v>39</v>
      </c>
      <c r="K43" s="3">
        <v>172</v>
      </c>
      <c r="L43" s="7">
        <f t="shared" si="0"/>
        <v>211</v>
      </c>
      <c r="M43" s="3">
        <v>3</v>
      </c>
    </row>
    <row r="44" spans="1:13" s="20" customFormat="1" x14ac:dyDescent="0.3">
      <c r="A44" s="15" t="s">
        <v>14</v>
      </c>
      <c r="B44" s="16" t="s">
        <v>12</v>
      </c>
      <c r="C44" s="16" t="s">
        <v>57</v>
      </c>
      <c r="D44" s="17">
        <v>0</v>
      </c>
      <c r="E44" s="17">
        <v>16</v>
      </c>
      <c r="F44" s="18">
        <v>13</v>
      </c>
      <c r="G44" s="18">
        <v>15</v>
      </c>
      <c r="H44" s="19">
        <v>15</v>
      </c>
      <c r="I44" s="18">
        <v>50</v>
      </c>
      <c r="J44" s="18">
        <v>0</v>
      </c>
      <c r="K44" s="18">
        <v>15</v>
      </c>
      <c r="L44" s="17">
        <f t="shared" si="0"/>
        <v>15</v>
      </c>
      <c r="M44" s="18">
        <v>0</v>
      </c>
    </row>
    <row r="45" spans="1:13" s="2" customFormat="1" x14ac:dyDescent="0.3">
      <c r="B45" s="4" t="s">
        <v>7</v>
      </c>
      <c r="C45" s="4">
        <f>COUNTA(C2:C44)</f>
        <v>43</v>
      </c>
      <c r="D45" s="8">
        <f t="shared" ref="D45:H45" si="1">SUM(D2:D44)</f>
        <v>41659</v>
      </c>
      <c r="E45" s="5">
        <f t="shared" si="1"/>
        <v>212</v>
      </c>
      <c r="F45" s="5">
        <f t="shared" si="1"/>
        <v>4049</v>
      </c>
      <c r="G45" s="5">
        <f t="shared" si="1"/>
        <v>10154</v>
      </c>
      <c r="H45" s="5">
        <f t="shared" si="1"/>
        <v>12640</v>
      </c>
      <c r="I45" s="5"/>
      <c r="J45" s="5">
        <f t="shared" ref="J45:M45" si="2">SUM(J2:J44)</f>
        <v>1548</v>
      </c>
      <c r="K45" s="5">
        <f t="shared" si="2"/>
        <v>10619</v>
      </c>
      <c r="L45" s="8">
        <f t="shared" si="2"/>
        <v>12167</v>
      </c>
      <c r="M45" s="5">
        <f t="shared" si="2"/>
        <v>422</v>
      </c>
    </row>
    <row r="46" spans="1:13" x14ac:dyDescent="0.3">
      <c r="B46" s="6" t="s">
        <v>9</v>
      </c>
      <c r="J46" s="14">
        <f>J45/$L$45</f>
        <v>0.12722939097558972</v>
      </c>
      <c r="K46" s="14">
        <f>K45/$L$45</f>
        <v>0.87277060902441028</v>
      </c>
      <c r="L46" s="10">
        <f>SUM(J46:K46)</f>
        <v>1</v>
      </c>
    </row>
  </sheetData>
  <conditionalFormatting sqref="G2:H43">
    <cfRule type="expression" dxfId="1" priority="2">
      <formula>G2&lt;F2</formula>
    </cfRule>
  </conditionalFormatting>
  <conditionalFormatting sqref="G44:H44">
    <cfRule type="expression" dxfId="0" priority="1">
      <formula>G44&lt;F44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სამუშაო ფურცლები</vt:lpstr>
      </vt:variant>
      <vt:variant>
        <vt:i4>1</vt:i4>
      </vt:variant>
    </vt:vector>
  </HeadingPairs>
  <TitlesOfParts>
    <vt:vector size="1" baseType="lpstr">
      <vt:lpstr>მაჟორიტარული აჭარა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2017-10-15T13:03:23Z</cp:lastPrinted>
  <dcterms:created xsi:type="dcterms:W3CDTF">2014-07-31T10:11:31Z</dcterms:created>
  <dcterms:modified xsi:type="dcterms:W3CDTF">2021-04-12T18:42:19Z</dcterms:modified>
</cp:coreProperties>
</file>