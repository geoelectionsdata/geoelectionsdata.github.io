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01"/>
  <workbookPr/>
  <mc:AlternateContent xmlns:mc="http://schemas.openxmlformats.org/markup-compatibility/2006">
    <mc:Choice Requires="x15">
      <x15ac:absPath xmlns:x15ac="http://schemas.microsoft.com/office/spreadsheetml/2010/11/ac" url="G:\My Drive\Election portal data sets\Election results\შედეგები\"/>
    </mc:Choice>
  </mc:AlternateContent>
  <xr:revisionPtr revIDLastSave="0" documentId="13_ncr:1_{2FF61392-E26B-4E4F-BDC6-50977996DA34}" xr6:coauthVersionLast="46" xr6:coauthVersionMax="46" xr10:uidLastSave="{00000000-0000-0000-0000-000000000000}"/>
  <bookViews>
    <workbookView xWindow="-108" yWindow="-108" windowWidth="23256" windowHeight="12576" xr2:uid="{00000000-000D-0000-FFFF-FFFF00000000}"/>
  </bookViews>
  <sheets>
    <sheet name="პროპორციული usco" sheetId="14" r:id="rId1"/>
    <sheet name="მაჟორიტარული usco" sheetId="13" r:id="rId2"/>
  </sheets>
  <definedNames>
    <definedName name="_xlnm._FilterDatabase" localSheetId="1" hidden="1">'მაჟორიტარული usco'!$A$2:$Z$36</definedName>
    <definedName name="_xlnm.Print_Titles" localSheetId="1">'მაჟორიტარული usco'!$A:$D,'მაჟორიტარული usco'!$1:$2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5" i="13" l="1"/>
  <c r="F34" i="14"/>
  <c r="BJ34" i="14" l="1"/>
  <c r="BH34" i="14"/>
  <c r="BG34" i="14"/>
  <c r="BF34" i="14"/>
  <c r="BE34" i="14"/>
  <c r="BD34" i="14"/>
  <c r="BC34" i="14"/>
  <c r="BB34" i="14"/>
  <c r="BA34" i="14"/>
  <c r="AZ34" i="14"/>
  <c r="AY34" i="14"/>
  <c r="AX34" i="14"/>
  <c r="AW34" i="14"/>
  <c r="AV34" i="14"/>
  <c r="AU34" i="14"/>
  <c r="AT34" i="14"/>
  <c r="AS34" i="14"/>
  <c r="AR34" i="14"/>
  <c r="AQ34" i="14"/>
  <c r="AP34" i="14"/>
  <c r="AO34" i="14"/>
  <c r="AN34" i="14"/>
  <c r="AM34" i="14"/>
  <c r="AL34" i="14"/>
  <c r="AK34" i="14"/>
  <c r="AJ34" i="14"/>
  <c r="AI34" i="14"/>
  <c r="AH34" i="14"/>
  <c r="AG34" i="14"/>
  <c r="AF34" i="14"/>
  <c r="AE34" i="14"/>
  <c r="AD34" i="14"/>
  <c r="AC34" i="14"/>
  <c r="AB34" i="14"/>
  <c r="AA34" i="14"/>
  <c r="Z34" i="14"/>
  <c r="Y34" i="14"/>
  <c r="X34" i="14"/>
  <c r="W34" i="14"/>
  <c r="V34" i="14"/>
  <c r="U34" i="14"/>
  <c r="T34" i="14"/>
  <c r="S34" i="14"/>
  <c r="R34" i="14"/>
  <c r="Q34" i="14"/>
  <c r="P34" i="14"/>
  <c r="O34" i="14"/>
  <c r="N34" i="14"/>
  <c r="M34" i="14"/>
  <c r="L34" i="14"/>
  <c r="K34" i="14"/>
  <c r="J34" i="14"/>
  <c r="I34" i="14"/>
  <c r="H34" i="14"/>
  <c r="G34" i="14"/>
  <c r="E34" i="14"/>
  <c r="C34" i="14"/>
  <c r="BI33" i="14"/>
  <c r="BI32" i="14"/>
  <c r="BI31" i="14"/>
  <c r="BI30" i="14"/>
  <c r="BI29" i="14"/>
  <c r="BI28" i="14"/>
  <c r="BI27" i="14"/>
  <c r="BI26" i="14"/>
  <c r="BI25" i="14"/>
  <c r="BI24" i="14"/>
  <c r="BI23" i="14"/>
  <c r="BI22" i="14"/>
  <c r="BI21" i="14"/>
  <c r="BI20" i="14"/>
  <c r="BI19" i="14"/>
  <c r="BI18" i="14"/>
  <c r="BI17" i="14"/>
  <c r="BI16" i="14"/>
  <c r="BI15" i="14"/>
  <c r="BI14" i="14"/>
  <c r="BI13" i="14"/>
  <c r="BI12" i="14"/>
  <c r="BI11" i="14"/>
  <c r="BI10" i="14"/>
  <c r="BI9" i="14"/>
  <c r="BI8" i="14"/>
  <c r="BI7" i="14"/>
  <c r="BI6" i="14"/>
  <c r="BI5" i="14"/>
  <c r="BI4" i="14"/>
  <c r="BI3" i="14"/>
  <c r="BI2" i="14"/>
  <c r="BI34" i="14" l="1"/>
  <c r="S35" i="14" s="1"/>
  <c r="O35" i="14"/>
  <c r="AU35" i="14"/>
  <c r="BC35" i="14"/>
  <c r="N35" i="14"/>
  <c r="L35" i="14"/>
  <c r="M35" i="14"/>
  <c r="U35" i="14"/>
  <c r="Y35" i="14"/>
  <c r="AC35" i="14"/>
  <c r="AK35" i="14"/>
  <c r="AO35" i="14"/>
  <c r="AS35" i="14"/>
  <c r="BA35" i="14"/>
  <c r="BE35" i="14"/>
  <c r="Z35" i="13"/>
  <c r="X35" i="13"/>
  <c r="W35" i="13"/>
  <c r="V35" i="13"/>
  <c r="U35" i="13"/>
  <c r="T35" i="13"/>
  <c r="S35" i="13"/>
  <c r="R35" i="13"/>
  <c r="Q35" i="13"/>
  <c r="P35" i="13"/>
  <c r="O35" i="13"/>
  <c r="N35" i="13"/>
  <c r="M35" i="13"/>
  <c r="L35" i="13"/>
  <c r="K35" i="13"/>
  <c r="I35" i="13"/>
  <c r="H35" i="13"/>
  <c r="G35" i="13"/>
  <c r="E35" i="13"/>
  <c r="C35" i="13"/>
  <c r="Y34" i="13"/>
  <c r="Y33" i="13"/>
  <c r="Y32" i="13"/>
  <c r="Y31" i="13"/>
  <c r="Y30" i="13"/>
  <c r="Y29" i="13"/>
  <c r="Y28" i="13"/>
  <c r="Y27" i="13"/>
  <c r="Y26" i="13"/>
  <c r="Y25" i="13"/>
  <c r="Y24" i="13"/>
  <c r="Y23" i="13"/>
  <c r="Y22" i="13"/>
  <c r="Y21" i="13"/>
  <c r="Y20" i="13"/>
  <c r="Y19" i="13"/>
  <c r="Y18" i="13"/>
  <c r="Y17" i="13"/>
  <c r="Y16" i="13"/>
  <c r="Y15" i="13"/>
  <c r="Y14" i="13"/>
  <c r="Y13" i="13"/>
  <c r="Y12" i="13"/>
  <c r="Y11" i="13"/>
  <c r="Y10" i="13"/>
  <c r="Y9" i="13"/>
  <c r="Y8" i="13"/>
  <c r="Y7" i="13"/>
  <c r="Y6" i="13"/>
  <c r="Y5" i="13"/>
  <c r="Y4" i="13"/>
  <c r="Y3" i="13"/>
  <c r="AL35" i="14" l="1"/>
  <c r="AT35" i="14"/>
  <c r="BB35" i="14"/>
  <c r="BF35" i="14"/>
  <c r="BD35" i="14"/>
  <c r="AN35" i="14"/>
  <c r="X35" i="14"/>
  <c r="W35" i="14"/>
  <c r="AW35" i="14"/>
  <c r="AG35" i="14"/>
  <c r="Q35" i="14"/>
  <c r="V35" i="14"/>
  <c r="AP35" i="14"/>
  <c r="AF35" i="14"/>
  <c r="AM35" i="14"/>
  <c r="AD35" i="14"/>
  <c r="Z35" i="14"/>
  <c r="AV35" i="14"/>
  <c r="P35" i="14"/>
  <c r="AE35" i="14"/>
  <c r="AH35" i="14"/>
  <c r="BH35" i="14"/>
  <c r="AR35" i="14"/>
  <c r="AB35" i="14"/>
  <c r="BG35" i="14"/>
  <c r="AQ35" i="14"/>
  <c r="AA35" i="14"/>
  <c r="K35" i="14"/>
  <c r="R35" i="14"/>
  <c r="AX35" i="14"/>
  <c r="AZ35" i="14"/>
  <c r="AJ35" i="14"/>
  <c r="T35" i="14"/>
  <c r="AY35" i="14"/>
  <c r="AI35" i="14"/>
  <c r="Y35" i="13"/>
  <c r="L36" i="13" s="1"/>
  <c r="BI35" i="14" l="1"/>
  <c r="Q36" i="13"/>
  <c r="X36" i="13"/>
  <c r="O36" i="13"/>
  <c r="K36" i="13"/>
  <c r="V36" i="13"/>
  <c r="M36" i="13"/>
  <c r="T36" i="13"/>
  <c r="W36" i="13"/>
  <c r="R36" i="13"/>
  <c r="P36" i="13"/>
  <c r="S36" i="13"/>
  <c r="N36" i="13"/>
  <c r="U36" i="13"/>
  <c r="Y36" i="13" l="1"/>
</calcChain>
</file>

<file path=xl/sharedStrings.xml><?xml version="1.0" encoding="utf-8"?>
<sst xmlns="http://schemas.openxmlformats.org/spreadsheetml/2006/main" count="284" uniqueCount="112">
  <si>
    <t>უბანი</t>
  </si>
  <si>
    <t>ამომრჩეველთა რაოდენობა ერთიან სიაში</t>
  </si>
  <si>
    <t>ამომრჩეველთა რაოდენობა სპეციალურ სიაში</t>
  </si>
  <si>
    <t>აქტივობა 12 სთ.</t>
  </si>
  <si>
    <t>აქტივობა 17 სთ.</t>
  </si>
  <si>
    <t>მონაწილე</t>
  </si>
  <si>
    <t>ბათილი ბიულეტენები</t>
  </si>
  <si>
    <t>სულ</t>
  </si>
  <si>
    <t>ნამდვილი ბიულეტენები</t>
  </si>
  <si>
    <t>%</t>
  </si>
  <si>
    <t xml:space="preserve">მიღებული ბიულეტენები </t>
  </si>
  <si>
    <t>ოლქი</t>
  </si>
  <si>
    <t>80-ქედა</t>
  </si>
  <si>
    <t>მიმაგრებული უბანი</t>
  </si>
  <si>
    <t>მაჟორიტარული ოლქი</t>
  </si>
  <si>
    <t>30</t>
  </si>
  <si>
    <t xml:space="preserve">30.80.01 </t>
  </si>
  <si>
    <t xml:space="preserve">30.80.02 </t>
  </si>
  <si>
    <t xml:space="preserve">30.80.03 </t>
  </si>
  <si>
    <t xml:space="preserve">30.80.04 </t>
  </si>
  <si>
    <t xml:space="preserve">30.80.05 </t>
  </si>
  <si>
    <t xml:space="preserve">30.80.06 </t>
  </si>
  <si>
    <t xml:space="preserve">30.80.07 </t>
  </si>
  <si>
    <t xml:space="preserve">30.80.08 </t>
  </si>
  <si>
    <t xml:space="preserve">30.80.09 </t>
  </si>
  <si>
    <t xml:space="preserve">30.80.10 </t>
  </si>
  <si>
    <t xml:space="preserve">30.80.11 </t>
  </si>
  <si>
    <t xml:space="preserve">30.80.12 </t>
  </si>
  <si>
    <t xml:space="preserve">30.80.13 </t>
  </si>
  <si>
    <t xml:space="preserve">30.80.14 </t>
  </si>
  <si>
    <t xml:space="preserve">30.80.15 </t>
  </si>
  <si>
    <t xml:space="preserve">30.80.16 </t>
  </si>
  <si>
    <t xml:space="preserve">30.80.17 </t>
  </si>
  <si>
    <t xml:space="preserve">30.80.18 </t>
  </si>
  <si>
    <t xml:space="preserve">30.80.19 </t>
  </si>
  <si>
    <t xml:space="preserve">30.80.20 </t>
  </si>
  <si>
    <t xml:space="preserve">30.80.21 </t>
  </si>
  <si>
    <t xml:space="preserve">30.80.22 </t>
  </si>
  <si>
    <t xml:space="preserve">30.80.23 </t>
  </si>
  <si>
    <t xml:space="preserve">30.80.24 </t>
  </si>
  <si>
    <t xml:space="preserve">30.80.25 </t>
  </si>
  <si>
    <t xml:space="preserve">30.80.26 </t>
  </si>
  <si>
    <t xml:space="preserve">30.80.27 </t>
  </si>
  <si>
    <t xml:space="preserve">30.80.28 </t>
  </si>
  <si>
    <t xml:space="preserve">30.80.29 </t>
  </si>
  <si>
    <t xml:space="preserve">30.80.30 </t>
  </si>
  <si>
    <t xml:space="preserve">30.80.31 </t>
  </si>
  <si>
    <t>1 (პარტია) „თეთრები”</t>
  </si>
  <si>
    <t>2 „ბაქრაძე, უგულავა, ბოკერია - ევროპული საქართველო - მოძრაობა თავისუფლებისთვის“</t>
  </si>
  <si>
    <t>3 ნინო ბურჯანაძე-ერთიანი საქართველო-დემოკრატიული მოძრაობა</t>
  </si>
  <si>
    <t>4 „დავით ჭიჭინაძე ტრიბუნა - ქდმ”</t>
  </si>
  <si>
    <t>5 ბლოკი „ერთიანი ნაციონალური მოძრაობა-გაერთიანებული ოპოზიცია „ძალა ერთობაშია”</t>
  </si>
  <si>
    <t>6 „მომავალი საქართველო”</t>
  </si>
  <si>
    <t>7 „თამაზ მეჭიაური ერთიანი საქართველოსთვის“</t>
  </si>
  <si>
    <t>8 „დავით თარხან-მოურავი, ირმა ინაშვილი - საქართველოს პატრიოტთა ალიანსი”</t>
  </si>
  <si>
    <t>9 „გაჩეჩილაძე - მწვანეთა პარტია“</t>
  </si>
  <si>
    <t>10 „შალვა ნათელაშვილი-საქართველოს ლეიბორისტული პარტია“</t>
  </si>
  <si>
    <t>11 „მშრომელთა სოციალისტური პარტია“</t>
  </si>
  <si>
    <t>12 „მოძრაობა თავისუფალი საქართველოსთვის”</t>
  </si>
  <si>
    <t>13 „რეფორმერი“</t>
  </si>
  <si>
    <t>14 „ბეჟან გუნავა - ქართული არჩევანი“</t>
  </si>
  <si>
    <t>16 „ახალი ქრისტიან-დემოკრატები”</t>
  </si>
  <si>
    <t>17 „ირაკლი ოქრუაშვილი - გამარჯვებული საქართველო“</t>
  </si>
  <si>
    <t>18 „მრეწველობა გადაარჩენს საქართველოს“</t>
  </si>
  <si>
    <t>19 მოქალაქეთა პოლიტიკური გაერთიანება „ჩვენი საქართველო - სოლიდარობის ალიანსი“</t>
  </si>
  <si>
    <t>20 „საქართველო“</t>
  </si>
  <si>
    <t>21 „თავისუფალი საქართველო (კახა კუკავა, გიორგი წულაია)“</t>
  </si>
  <si>
    <t>23 „ახალი ძალა“</t>
  </si>
  <si>
    <t>24 „ალეკო ელისაშვილი-მოქალაქეები“</t>
  </si>
  <si>
    <t>25 „თავისუფალი დემოკრატები“</t>
  </si>
  <si>
    <t>26 ეკა ბესელია - პ.პ. „სამართლიანობისთვის“</t>
  </si>
  <si>
    <t>27 ბლოკი „გიორგი ვაშაძე-სტრატეგია აღმაშენებელი”</t>
  </si>
  <si>
    <t>28 „ქართული ფესვები”</t>
  </si>
  <si>
    <t>30 „შეცვალე საქართველო”</t>
  </si>
  <si>
    <t>31 თავისუფლება-ზვიად გამსახურდიას გზა</t>
  </si>
  <si>
    <t>32 „სახალხო პარტია“</t>
  </si>
  <si>
    <t>33 „ეროვნულ-დემოკრატიული პარტია (ედპ)“</t>
  </si>
  <si>
    <t>34 „სოციალური სამართლიანობისათვის“</t>
  </si>
  <si>
    <t>36 „გირჩი“</t>
  </si>
  <si>
    <t>41 ქართული ოცნება - დემოკრატიული საქართველო</t>
  </si>
  <si>
    <t>42 რეფორმატორები</t>
  </si>
  <si>
    <t>43 „ზვიადის გზა“ (ღმერთის, სიმართლისა და ქვეყნისათვის)</t>
  </si>
  <si>
    <t>44 „ლევან ჩაჩუა, გურამ ფალავანდიშვილი - ქართული იდეა“</t>
  </si>
  <si>
    <t>45 „ეროვნულ დემოკრატიული მოძრაობა“</t>
  </si>
  <si>
    <t>46 „გია ჟორჟოლიანი - სოციალ-დემოკრატები საქართველოს განვითარებისათვის“</t>
  </si>
  <si>
    <t>47 „ზვიად ძიძიგური - საქართველოს კონსერვატიული პარტია”</t>
  </si>
  <si>
    <t>48 „არჩევანი სამშობლოსათვის“</t>
  </si>
  <si>
    <t>49 „ჯონდო ბაღათურია - ქართული დასი”</t>
  </si>
  <si>
    <t>50 „პროგრესული საქართველო“</t>
  </si>
  <si>
    <t>51 „საქართველოს ძალოვან ვეტერანთა და პატრიოტთა პოლიტიკური მოძრაობა”</t>
  </si>
  <si>
    <t>52 „სერგო ჯავახიძე-ევროატლანტიკური ვექტორი“</t>
  </si>
  <si>
    <t>53 „ტრადიციონალისტები“</t>
  </si>
  <si>
    <t>54 „ანა რეხვიაშვილი - სახალხო მოძრაობა ქრისტიან-დემოკრატები“</t>
  </si>
  <si>
    <t>55 „ქართული მარში-ეროვნული მოძრაობა“</t>
  </si>
  <si>
    <t>56 „ლელო - მამუკა ხაზარაძე“</t>
  </si>
  <si>
    <t>57 მამულიშვილთა ორდენი „სამშობლო“</t>
  </si>
  <si>
    <t>30.80.32</t>
  </si>
  <si>
    <t>2. თემურ კაკაბაძე</t>
  </si>
  <si>
    <t>4. ზაზა ტარიელაძე</t>
  </si>
  <si>
    <t>8. დავით დავითაძე</t>
  </si>
  <si>
    <t>10. უშანგი ცეცხლაძე</t>
  </si>
  <si>
    <t>14. მარად აბულაძე</t>
  </si>
  <si>
    <t>17. ასლან ვაშაყმაძე</t>
  </si>
  <si>
    <t>19. ანჟელა ვერძაძე</t>
  </si>
  <si>
    <t>21. ბაჰადურ რიჟვაძე</t>
  </si>
  <si>
    <t>27. გიზო გორგილაძე</t>
  </si>
  <si>
    <t>41. ფრიდონ ფუტკარაძდე</t>
  </si>
  <si>
    <t>55. ავთანდილ დიასამიძე</t>
  </si>
  <si>
    <t>56. მერაბ აბაშიძე</t>
  </si>
  <si>
    <t>61. პაატა შავაძე</t>
  </si>
  <si>
    <t>5. გია აბულაძე</t>
  </si>
  <si>
    <t>61 ბაგრატიონი სახე 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</si>
</sst>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Sylfaen"/>
      <family val="2"/>
      <scheme val="minor"/>
    </font>
    <font>
      <sz val="11"/>
      <color theme="1"/>
      <name val="Sylfaen"/>
      <family val="2"/>
      <scheme val="minor"/>
    </font>
    <font>
      <b/>
      <sz val="9"/>
      <color theme="1"/>
      <name val="Sylfaen"/>
      <family val="1"/>
    </font>
    <font>
      <sz val="11"/>
      <color theme="1"/>
      <name val="Sylfaen"/>
      <family val="1"/>
    </font>
    <font>
      <b/>
      <sz val="11"/>
      <color theme="1"/>
      <name val="Sylfaen"/>
      <family val="1"/>
    </font>
    <font>
      <b/>
      <sz val="10"/>
      <color theme="1"/>
      <name val="Sylfaen"/>
      <family val="1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5">
    <xf numFmtId="0" fontId="0" fillId="0" borderId="0" xfId="0"/>
    <xf numFmtId="0" fontId="3" fillId="0" borderId="0" xfId="0" applyFont="1" applyProtection="1">
      <protection locked="0"/>
    </xf>
    <xf numFmtId="0" fontId="4" fillId="0" borderId="0" xfId="0" applyFont="1" applyProtection="1">
      <protection locked="0"/>
    </xf>
    <xf numFmtId="0" fontId="3" fillId="0" borderId="1" xfId="0" applyFont="1" applyBorder="1" applyAlignment="1" applyProtection="1">
      <alignment horizontal="center"/>
      <protection locked="0"/>
    </xf>
    <xf numFmtId="3" fontId="3" fillId="0" borderId="1" xfId="0" applyNumberFormat="1" applyFont="1" applyBorder="1" applyProtection="1">
      <protection locked="0"/>
    </xf>
    <xf numFmtId="0" fontId="4" fillId="0" borderId="1" xfId="0" applyFont="1" applyBorder="1" applyAlignment="1" applyProtection="1">
      <alignment horizontal="center"/>
      <protection locked="0"/>
    </xf>
    <xf numFmtId="3" fontId="4" fillId="0" borderId="1" xfId="0" applyNumberFormat="1" applyFont="1" applyBorder="1" applyProtection="1">
      <protection locked="0"/>
    </xf>
    <xf numFmtId="0" fontId="3" fillId="0" borderId="0" xfId="0" applyFont="1" applyAlignment="1" applyProtection="1">
      <alignment horizontal="center"/>
      <protection locked="0"/>
    </xf>
    <xf numFmtId="3" fontId="3" fillId="0" borderId="1" xfId="0" applyNumberFormat="1" applyFont="1" applyBorder="1" applyProtection="1"/>
    <xf numFmtId="3" fontId="4" fillId="0" borderId="1" xfId="0" applyNumberFormat="1" applyFont="1" applyBorder="1" applyProtection="1"/>
    <xf numFmtId="0" fontId="3" fillId="0" borderId="0" xfId="0" applyFont="1" applyProtection="1"/>
    <xf numFmtId="9" fontId="4" fillId="0" borderId="0" xfId="1" applyFont="1" applyProtection="1"/>
    <xf numFmtId="0" fontId="4" fillId="0" borderId="1" xfId="0" applyFont="1" applyBorder="1" applyAlignment="1" applyProtection="1">
      <alignment horizontal="center"/>
    </xf>
    <xf numFmtId="0" fontId="4" fillId="0" borderId="0" xfId="0" applyFont="1" applyProtection="1"/>
    <xf numFmtId="49" fontId="3" fillId="0" borderId="1" xfId="0" applyNumberFormat="1" applyFont="1" applyBorder="1" applyAlignment="1">
      <alignment horizontal="center"/>
    </xf>
    <xf numFmtId="49" fontId="3" fillId="0" borderId="1" xfId="0" applyNumberFormat="1" applyFont="1" applyBorder="1"/>
    <xf numFmtId="10" fontId="4" fillId="0" borderId="0" xfId="1" applyNumberFormat="1" applyFont="1" applyProtection="1">
      <protection locked="0"/>
    </xf>
    <xf numFmtId="0" fontId="4" fillId="2" borderId="1" xfId="0" applyFont="1" applyFill="1" applyBorder="1" applyAlignment="1" applyProtection="1">
      <alignment horizontal="center" vertical="center" textRotation="90"/>
      <protection locked="0"/>
    </xf>
    <xf numFmtId="0" fontId="3" fillId="0" borderId="0" xfId="0" applyFont="1" applyAlignment="1" applyProtection="1">
      <protection locked="0"/>
    </xf>
    <xf numFmtId="0" fontId="4" fillId="0" borderId="0" xfId="0" applyFont="1" applyAlignment="1" applyProtection="1">
      <protection locked="0"/>
    </xf>
    <xf numFmtId="0" fontId="2" fillId="2" borderId="1" xfId="0" applyFont="1" applyFill="1" applyBorder="1" applyAlignment="1" applyProtection="1">
      <alignment vertical="center"/>
      <protection locked="0"/>
    </xf>
    <xf numFmtId="0" fontId="2" fillId="2" borderId="2" xfId="0" applyFont="1" applyFill="1" applyBorder="1" applyAlignment="1" applyProtection="1">
      <alignment vertical="center"/>
    </xf>
    <xf numFmtId="0" fontId="2" fillId="2" borderId="3" xfId="0" applyFont="1" applyFill="1" applyBorder="1" applyAlignment="1" applyProtection="1">
      <alignment vertical="center"/>
    </xf>
    <xf numFmtId="0" fontId="2" fillId="2" borderId="1" xfId="0" applyFont="1" applyFill="1" applyBorder="1" applyAlignment="1" applyProtection="1">
      <alignment vertical="center"/>
    </xf>
    <xf numFmtId="0" fontId="5" fillId="2" borderId="1" xfId="0" applyFont="1" applyFill="1" applyBorder="1" applyAlignment="1" applyProtection="1">
      <alignment horizontal="center" vertical="center" textRotation="90"/>
      <protection locked="0"/>
    </xf>
  </cellXfs>
  <cellStyles count="2">
    <cellStyle name="პროცენტი" xfId="1" builtinId="5"/>
    <cellStyle name="ჩვეულებრივი" xfId="0" builtinId="0"/>
  </cellStyles>
  <dxfs count="30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J35"/>
  <sheetViews>
    <sheetView tabSelected="1" topLeftCell="AI1" workbookViewId="0">
      <selection activeCell="AI2" sqref="AI2"/>
    </sheetView>
  </sheetViews>
  <sheetFormatPr defaultColWidth="9.109375" defaultRowHeight="14.4" x14ac:dyDescent="0.3"/>
  <cols>
    <col min="1" max="1" width="9.109375" style="1"/>
    <col min="2" max="2" width="24.88671875" style="7" customWidth="1"/>
    <col min="3" max="3" width="10.6640625" style="7" customWidth="1"/>
    <col min="4" max="4" width="11" style="7" customWidth="1"/>
    <col min="5" max="5" width="14.6640625" style="10" customWidth="1"/>
    <col min="6" max="6" width="15" style="1" customWidth="1"/>
    <col min="7" max="7" width="9.77734375" style="1" customWidth="1"/>
    <col min="8" max="8" width="9.88671875" style="1" customWidth="1"/>
    <col min="9" max="9" width="10.21875" style="1" bestFit="1" customWidth="1"/>
    <col min="10" max="10" width="13.77734375" style="1" customWidth="1"/>
    <col min="11" max="11" width="9.77734375" style="1" bestFit="1" customWidth="1"/>
    <col min="12" max="13" width="11.109375" style="1" bestFit="1" customWidth="1"/>
    <col min="14" max="14" width="9.77734375" style="1" bestFit="1" customWidth="1"/>
    <col min="15" max="15" width="11.109375" style="1" bestFit="1" customWidth="1"/>
    <col min="16" max="16" width="9.77734375" style="1" bestFit="1" customWidth="1"/>
    <col min="17" max="18" width="11.109375" style="1" bestFit="1" customWidth="1"/>
    <col min="19" max="19" width="9.77734375" style="1" bestFit="1" customWidth="1"/>
    <col min="20" max="20" width="11.109375" style="1" bestFit="1" customWidth="1"/>
    <col min="21" max="21" width="9.77734375" style="1" bestFit="1" customWidth="1"/>
    <col min="22" max="22" width="11.109375" style="1" bestFit="1" customWidth="1"/>
    <col min="23" max="25" width="9.77734375" style="1" bestFit="1" customWidth="1"/>
    <col min="26" max="26" width="11.109375" style="1" bestFit="1" customWidth="1"/>
    <col min="27" max="27" width="9.77734375" style="1" bestFit="1" customWidth="1"/>
    <col min="28" max="28" width="11.109375" style="1" bestFit="1" customWidth="1"/>
    <col min="29" max="29" width="9.77734375" style="1" bestFit="1" customWidth="1"/>
    <col min="30" max="30" width="11.109375" style="1" bestFit="1" customWidth="1"/>
    <col min="31" max="34" width="9.77734375" style="1" bestFit="1" customWidth="1"/>
    <col min="35" max="35" width="11.109375" style="1" bestFit="1" customWidth="1"/>
    <col min="36" max="42" width="9.77734375" style="1" bestFit="1" customWidth="1"/>
    <col min="43" max="43" width="11.109375" style="1" bestFit="1" customWidth="1"/>
    <col min="44" max="44" width="9.77734375" style="1" bestFit="1" customWidth="1"/>
    <col min="45" max="46" width="11.109375" style="1" bestFit="1" customWidth="1"/>
    <col min="47" max="47" width="9.77734375" style="1" bestFit="1" customWidth="1"/>
    <col min="48" max="49" width="11.109375" style="1" bestFit="1" customWidth="1"/>
    <col min="50" max="52" width="9.77734375" style="1" bestFit="1" customWidth="1"/>
    <col min="53" max="54" width="11.109375" style="1" bestFit="1" customWidth="1"/>
    <col min="55" max="55" width="9.77734375" style="1" bestFit="1" customWidth="1"/>
    <col min="56" max="56" width="11.109375" style="1" bestFit="1" customWidth="1"/>
    <col min="57" max="60" width="9.77734375" style="1" bestFit="1" customWidth="1"/>
    <col min="61" max="61" width="13.6640625" style="10" customWidth="1"/>
    <col min="62" max="62" width="13.6640625" style="1" customWidth="1"/>
    <col min="63" max="16384" width="9.109375" style="1"/>
  </cols>
  <sheetData>
    <row r="1" spans="1:62" s="18" customFormat="1" ht="30" customHeight="1" x14ac:dyDescent="0.3">
      <c r="A1" s="20" t="s">
        <v>14</v>
      </c>
      <c r="B1" s="20" t="s">
        <v>11</v>
      </c>
      <c r="C1" s="20" t="s">
        <v>0</v>
      </c>
      <c r="D1" s="20" t="s">
        <v>13</v>
      </c>
      <c r="E1" s="23" t="s">
        <v>1</v>
      </c>
      <c r="F1" s="20" t="s">
        <v>2</v>
      </c>
      <c r="G1" s="20" t="s">
        <v>3</v>
      </c>
      <c r="H1" s="20" t="s">
        <v>4</v>
      </c>
      <c r="I1" s="20" t="s">
        <v>5</v>
      </c>
      <c r="J1" s="20" t="s">
        <v>10</v>
      </c>
      <c r="K1" s="24" t="s">
        <v>47</v>
      </c>
      <c r="L1" s="24" t="s">
        <v>48</v>
      </c>
      <c r="M1" s="24" t="s">
        <v>49</v>
      </c>
      <c r="N1" s="24" t="s">
        <v>50</v>
      </c>
      <c r="O1" s="24" t="s">
        <v>51</v>
      </c>
      <c r="P1" s="24" t="s">
        <v>52</v>
      </c>
      <c r="Q1" s="24" t="s">
        <v>53</v>
      </c>
      <c r="R1" s="24" t="s">
        <v>54</v>
      </c>
      <c r="S1" s="24" t="s">
        <v>55</v>
      </c>
      <c r="T1" s="24" t="s">
        <v>56</v>
      </c>
      <c r="U1" s="24" t="s">
        <v>57</v>
      </c>
      <c r="V1" s="24" t="s">
        <v>58</v>
      </c>
      <c r="W1" s="24" t="s">
        <v>59</v>
      </c>
      <c r="X1" s="24" t="s">
        <v>60</v>
      </c>
      <c r="Y1" s="24" t="s">
        <v>61</v>
      </c>
      <c r="Z1" s="24" t="s">
        <v>62</v>
      </c>
      <c r="AA1" s="24" t="s">
        <v>63</v>
      </c>
      <c r="AB1" s="24" t="s">
        <v>64</v>
      </c>
      <c r="AC1" s="24" t="s">
        <v>65</v>
      </c>
      <c r="AD1" s="24" t="s">
        <v>66</v>
      </c>
      <c r="AE1" s="24" t="s">
        <v>67</v>
      </c>
      <c r="AF1" s="24" t="s">
        <v>68</v>
      </c>
      <c r="AG1" s="24" t="s">
        <v>69</v>
      </c>
      <c r="AH1" s="24" t="s">
        <v>70</v>
      </c>
      <c r="AI1" s="24" t="s">
        <v>71</v>
      </c>
      <c r="AJ1" s="24" t="s">
        <v>72</v>
      </c>
      <c r="AK1" s="24" t="s">
        <v>73</v>
      </c>
      <c r="AL1" s="24" t="s">
        <v>74</v>
      </c>
      <c r="AM1" s="24" t="s">
        <v>75</v>
      </c>
      <c r="AN1" s="24" t="s">
        <v>76</v>
      </c>
      <c r="AO1" s="24" t="s">
        <v>77</v>
      </c>
      <c r="AP1" s="24" t="s">
        <v>78</v>
      </c>
      <c r="AQ1" s="24" t="s">
        <v>79</v>
      </c>
      <c r="AR1" s="24" t="s">
        <v>80</v>
      </c>
      <c r="AS1" s="24" t="s">
        <v>81</v>
      </c>
      <c r="AT1" s="24" t="s">
        <v>82</v>
      </c>
      <c r="AU1" s="24" t="s">
        <v>83</v>
      </c>
      <c r="AV1" s="24" t="s">
        <v>84</v>
      </c>
      <c r="AW1" s="24" t="s">
        <v>85</v>
      </c>
      <c r="AX1" s="24" t="s">
        <v>86</v>
      </c>
      <c r="AY1" s="24" t="s">
        <v>87</v>
      </c>
      <c r="AZ1" s="24" t="s">
        <v>88</v>
      </c>
      <c r="BA1" s="24" t="s">
        <v>89</v>
      </c>
      <c r="BB1" s="24" t="s">
        <v>90</v>
      </c>
      <c r="BC1" s="24" t="s">
        <v>91</v>
      </c>
      <c r="BD1" s="24" t="s">
        <v>92</v>
      </c>
      <c r="BE1" s="24" t="s">
        <v>93</v>
      </c>
      <c r="BF1" s="24" t="s">
        <v>94</v>
      </c>
      <c r="BG1" s="24" t="s">
        <v>95</v>
      </c>
      <c r="BH1" s="24" t="s">
        <v>111</v>
      </c>
      <c r="BI1" s="20" t="s">
        <v>8</v>
      </c>
      <c r="BJ1" s="20" t="s">
        <v>6</v>
      </c>
    </row>
    <row r="2" spans="1:62" ht="15" customHeight="1" x14ac:dyDescent="0.3">
      <c r="A2" s="14" t="s">
        <v>15</v>
      </c>
      <c r="B2" s="15" t="s">
        <v>12</v>
      </c>
      <c r="C2" s="15" t="s">
        <v>16</v>
      </c>
      <c r="D2" s="3"/>
      <c r="E2" s="8">
        <v>1327</v>
      </c>
      <c r="F2" s="8">
        <v>3</v>
      </c>
      <c r="G2" s="4">
        <v>223</v>
      </c>
      <c r="H2" s="4">
        <v>610</v>
      </c>
      <c r="I2" s="4">
        <v>890</v>
      </c>
      <c r="J2" s="4">
        <v>1250</v>
      </c>
      <c r="K2" s="4"/>
      <c r="L2" s="4">
        <v>16</v>
      </c>
      <c r="M2" s="4">
        <v>6</v>
      </c>
      <c r="N2" s="4">
        <v>2</v>
      </c>
      <c r="O2" s="4">
        <v>239</v>
      </c>
      <c r="P2" s="4"/>
      <c r="Q2" s="4"/>
      <c r="R2" s="4">
        <v>21</v>
      </c>
      <c r="S2" s="4"/>
      <c r="T2" s="4">
        <v>7</v>
      </c>
      <c r="U2" s="4"/>
      <c r="V2" s="4"/>
      <c r="W2" s="4"/>
      <c r="X2" s="4">
        <v>1</v>
      </c>
      <c r="Y2" s="4"/>
      <c r="Z2" s="4">
        <v>1</v>
      </c>
      <c r="AA2" s="4"/>
      <c r="AB2" s="4">
        <v>2</v>
      </c>
      <c r="AC2" s="4"/>
      <c r="AD2" s="4">
        <v>2</v>
      </c>
      <c r="AE2" s="4"/>
      <c r="AF2" s="4">
        <v>4</v>
      </c>
      <c r="AG2" s="4"/>
      <c r="AH2" s="4">
        <v>2</v>
      </c>
      <c r="AI2" s="4">
        <v>18</v>
      </c>
      <c r="AJ2" s="4"/>
      <c r="AK2" s="4"/>
      <c r="AL2" s="4"/>
      <c r="AM2" s="4"/>
      <c r="AN2" s="4"/>
      <c r="AO2" s="4"/>
      <c r="AP2" s="4">
        <v>13</v>
      </c>
      <c r="AQ2" s="4">
        <v>512</v>
      </c>
      <c r="AR2" s="4"/>
      <c r="AS2" s="4"/>
      <c r="AT2" s="4">
        <v>1</v>
      </c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>
        <v>16</v>
      </c>
      <c r="BG2" s="4"/>
      <c r="BH2" s="4">
        <v>3</v>
      </c>
      <c r="BI2" s="8">
        <f t="shared" ref="BI2:BI33" si="0">SUM(K2:BH2)</f>
        <v>866</v>
      </c>
      <c r="BJ2" s="4">
        <v>24</v>
      </c>
    </row>
    <row r="3" spans="1:62" x14ac:dyDescent="0.3">
      <c r="A3" s="14" t="s">
        <v>15</v>
      </c>
      <c r="B3" s="15" t="s">
        <v>12</v>
      </c>
      <c r="C3" s="15" t="s">
        <v>17</v>
      </c>
      <c r="D3" s="3"/>
      <c r="E3" s="8">
        <v>863</v>
      </c>
      <c r="F3" s="8">
        <v>7</v>
      </c>
      <c r="G3" s="4">
        <v>160</v>
      </c>
      <c r="H3" s="4">
        <v>485</v>
      </c>
      <c r="I3" s="4">
        <v>592</v>
      </c>
      <c r="J3" s="4">
        <v>800</v>
      </c>
      <c r="K3" s="4"/>
      <c r="L3" s="4">
        <v>20</v>
      </c>
      <c r="M3" s="4">
        <v>5</v>
      </c>
      <c r="N3" s="4">
        <v>4</v>
      </c>
      <c r="O3" s="4">
        <v>204</v>
      </c>
      <c r="P3" s="4"/>
      <c r="Q3" s="4"/>
      <c r="R3" s="4">
        <v>15</v>
      </c>
      <c r="S3" s="4"/>
      <c r="T3" s="4">
        <v>2</v>
      </c>
      <c r="U3" s="4"/>
      <c r="V3" s="4"/>
      <c r="W3" s="4"/>
      <c r="X3" s="4">
        <v>1</v>
      </c>
      <c r="Y3" s="4"/>
      <c r="Z3" s="4"/>
      <c r="AA3" s="4"/>
      <c r="AB3" s="4">
        <v>2</v>
      </c>
      <c r="AC3" s="4"/>
      <c r="AD3" s="4">
        <v>3</v>
      </c>
      <c r="AE3" s="4"/>
      <c r="AF3" s="4">
        <v>4</v>
      </c>
      <c r="AG3" s="4"/>
      <c r="AH3" s="4">
        <v>6</v>
      </c>
      <c r="AI3" s="4">
        <v>20</v>
      </c>
      <c r="AJ3" s="4"/>
      <c r="AK3" s="4"/>
      <c r="AL3" s="4"/>
      <c r="AM3" s="4"/>
      <c r="AN3" s="4"/>
      <c r="AO3" s="4"/>
      <c r="AP3" s="4">
        <v>2</v>
      </c>
      <c r="AQ3" s="4">
        <v>275</v>
      </c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>
        <v>15</v>
      </c>
      <c r="BG3" s="4"/>
      <c r="BH3" s="4"/>
      <c r="BI3" s="8">
        <f t="shared" si="0"/>
        <v>578</v>
      </c>
      <c r="BJ3" s="4">
        <v>11</v>
      </c>
    </row>
    <row r="4" spans="1:62" x14ac:dyDescent="0.3">
      <c r="A4" s="14" t="s">
        <v>15</v>
      </c>
      <c r="B4" s="15" t="s">
        <v>12</v>
      </c>
      <c r="C4" s="15" t="s">
        <v>18</v>
      </c>
      <c r="D4" s="3"/>
      <c r="E4" s="8">
        <v>300</v>
      </c>
      <c r="F4" s="8">
        <v>4</v>
      </c>
      <c r="G4" s="4">
        <v>63</v>
      </c>
      <c r="H4" s="4">
        <v>165</v>
      </c>
      <c r="I4" s="4">
        <v>224</v>
      </c>
      <c r="J4" s="4">
        <v>300</v>
      </c>
      <c r="K4" s="4"/>
      <c r="L4" s="4">
        <v>6</v>
      </c>
      <c r="M4" s="4">
        <v>1</v>
      </c>
      <c r="N4" s="4"/>
      <c r="O4" s="4">
        <v>49</v>
      </c>
      <c r="P4" s="4"/>
      <c r="Q4" s="4"/>
      <c r="R4" s="4">
        <v>11</v>
      </c>
      <c r="S4" s="4"/>
      <c r="T4" s="4">
        <v>2</v>
      </c>
      <c r="U4" s="4"/>
      <c r="V4" s="4"/>
      <c r="W4" s="4"/>
      <c r="X4" s="4"/>
      <c r="Y4" s="4"/>
      <c r="Z4" s="4">
        <v>1</v>
      </c>
      <c r="AA4" s="4"/>
      <c r="AB4" s="4"/>
      <c r="AC4" s="4"/>
      <c r="AD4" s="4"/>
      <c r="AE4" s="4"/>
      <c r="AF4" s="4"/>
      <c r="AG4" s="4"/>
      <c r="AH4" s="4"/>
      <c r="AI4" s="4">
        <v>1</v>
      </c>
      <c r="AJ4" s="4"/>
      <c r="AK4" s="4"/>
      <c r="AL4" s="4"/>
      <c r="AM4" s="4"/>
      <c r="AN4" s="4"/>
      <c r="AO4" s="4"/>
      <c r="AP4" s="4">
        <v>1</v>
      </c>
      <c r="AQ4" s="4">
        <v>136</v>
      </c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>
        <v>1</v>
      </c>
      <c r="BF4" s="4">
        <v>12</v>
      </c>
      <c r="BG4" s="4"/>
      <c r="BH4" s="4"/>
      <c r="BI4" s="8">
        <f t="shared" si="0"/>
        <v>221</v>
      </c>
      <c r="BJ4" s="4">
        <v>3</v>
      </c>
    </row>
    <row r="5" spans="1:62" x14ac:dyDescent="0.3">
      <c r="A5" s="14" t="s">
        <v>15</v>
      </c>
      <c r="B5" s="15" t="s">
        <v>12</v>
      </c>
      <c r="C5" s="15" t="s">
        <v>19</v>
      </c>
      <c r="D5" s="3"/>
      <c r="E5" s="8">
        <v>501</v>
      </c>
      <c r="F5" s="8">
        <v>1</v>
      </c>
      <c r="G5" s="4">
        <v>96</v>
      </c>
      <c r="H5" s="4">
        <v>265</v>
      </c>
      <c r="I5" s="4">
        <v>349</v>
      </c>
      <c r="J5" s="4">
        <v>500</v>
      </c>
      <c r="K5" s="4"/>
      <c r="L5" s="4">
        <v>9</v>
      </c>
      <c r="M5" s="4">
        <v>6</v>
      </c>
      <c r="N5" s="4"/>
      <c r="O5" s="4">
        <v>85</v>
      </c>
      <c r="P5" s="4"/>
      <c r="Q5" s="4"/>
      <c r="R5" s="4">
        <v>11</v>
      </c>
      <c r="S5" s="4"/>
      <c r="T5" s="4"/>
      <c r="U5" s="4"/>
      <c r="V5" s="4"/>
      <c r="W5" s="4"/>
      <c r="X5" s="4"/>
      <c r="Y5" s="4"/>
      <c r="Z5" s="4">
        <v>2</v>
      </c>
      <c r="AA5" s="4"/>
      <c r="AB5" s="4">
        <v>5</v>
      </c>
      <c r="AC5" s="4"/>
      <c r="AD5" s="4">
        <v>4</v>
      </c>
      <c r="AE5" s="4"/>
      <c r="AF5" s="4"/>
      <c r="AG5" s="4"/>
      <c r="AH5" s="4"/>
      <c r="AI5" s="4">
        <v>11</v>
      </c>
      <c r="AJ5" s="4"/>
      <c r="AK5" s="4"/>
      <c r="AL5" s="4"/>
      <c r="AM5" s="4"/>
      <c r="AN5" s="4"/>
      <c r="AO5" s="4"/>
      <c r="AP5" s="4">
        <v>2</v>
      </c>
      <c r="AQ5" s="4">
        <v>197</v>
      </c>
      <c r="AR5" s="4"/>
      <c r="AS5" s="4"/>
      <c r="AT5" s="4"/>
      <c r="AU5" s="4"/>
      <c r="AV5" s="4"/>
      <c r="AW5" s="4">
        <v>1</v>
      </c>
      <c r="AX5" s="4"/>
      <c r="AY5" s="4"/>
      <c r="AZ5" s="4"/>
      <c r="BA5" s="4"/>
      <c r="BB5" s="4"/>
      <c r="BC5" s="4"/>
      <c r="BD5" s="4"/>
      <c r="BE5" s="4">
        <v>1</v>
      </c>
      <c r="BF5" s="4">
        <v>13</v>
      </c>
      <c r="BG5" s="4"/>
      <c r="BH5" s="4"/>
      <c r="BI5" s="8">
        <f t="shared" si="0"/>
        <v>347</v>
      </c>
      <c r="BJ5" s="4">
        <v>2</v>
      </c>
    </row>
    <row r="6" spans="1:62" x14ac:dyDescent="0.3">
      <c r="A6" s="14" t="s">
        <v>15</v>
      </c>
      <c r="B6" s="15" t="s">
        <v>12</v>
      </c>
      <c r="C6" s="15" t="s">
        <v>20</v>
      </c>
      <c r="D6" s="3"/>
      <c r="E6" s="8">
        <v>274</v>
      </c>
      <c r="F6" s="8">
        <v>1</v>
      </c>
      <c r="G6" s="4">
        <v>45</v>
      </c>
      <c r="H6" s="4">
        <v>165</v>
      </c>
      <c r="I6" s="4">
        <v>203</v>
      </c>
      <c r="J6" s="4">
        <v>300</v>
      </c>
      <c r="K6" s="4"/>
      <c r="L6" s="4">
        <v>7</v>
      </c>
      <c r="M6" s="4"/>
      <c r="N6" s="4">
        <v>5</v>
      </c>
      <c r="O6" s="4">
        <v>62</v>
      </c>
      <c r="P6" s="4"/>
      <c r="Q6" s="4"/>
      <c r="R6" s="4">
        <v>4</v>
      </c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>
        <v>4</v>
      </c>
      <c r="AE6" s="4"/>
      <c r="AF6" s="4"/>
      <c r="AG6" s="4"/>
      <c r="AH6" s="4"/>
      <c r="AI6" s="4">
        <v>6</v>
      </c>
      <c r="AJ6" s="4"/>
      <c r="AK6" s="4"/>
      <c r="AL6" s="4"/>
      <c r="AM6" s="4"/>
      <c r="AN6" s="4"/>
      <c r="AO6" s="4"/>
      <c r="AP6" s="4"/>
      <c r="AQ6" s="4">
        <v>105</v>
      </c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>
        <v>8</v>
      </c>
      <c r="BG6" s="4"/>
      <c r="BH6" s="4"/>
      <c r="BI6" s="8">
        <f t="shared" si="0"/>
        <v>201</v>
      </c>
      <c r="BJ6" s="4">
        <v>2</v>
      </c>
    </row>
    <row r="7" spans="1:62" x14ac:dyDescent="0.3">
      <c r="A7" s="14" t="s">
        <v>15</v>
      </c>
      <c r="B7" s="15" t="s">
        <v>12</v>
      </c>
      <c r="C7" s="15" t="s">
        <v>21</v>
      </c>
      <c r="D7" s="3"/>
      <c r="E7" s="8">
        <v>421</v>
      </c>
      <c r="F7" s="8">
        <v>1</v>
      </c>
      <c r="G7" s="4">
        <v>81</v>
      </c>
      <c r="H7" s="4">
        <v>228</v>
      </c>
      <c r="I7" s="4">
        <v>299</v>
      </c>
      <c r="J7" s="4">
        <v>450</v>
      </c>
      <c r="K7" s="4"/>
      <c r="L7" s="4">
        <v>13</v>
      </c>
      <c r="M7" s="4">
        <v>1</v>
      </c>
      <c r="N7" s="4">
        <v>2</v>
      </c>
      <c r="O7" s="4">
        <v>113</v>
      </c>
      <c r="P7" s="4"/>
      <c r="Q7" s="4"/>
      <c r="R7" s="4">
        <v>15</v>
      </c>
      <c r="S7" s="4"/>
      <c r="T7" s="4">
        <v>3</v>
      </c>
      <c r="U7" s="4"/>
      <c r="V7" s="4"/>
      <c r="W7" s="4"/>
      <c r="X7" s="4"/>
      <c r="Y7" s="4"/>
      <c r="Z7" s="4">
        <v>2</v>
      </c>
      <c r="AA7" s="4"/>
      <c r="AB7" s="4">
        <v>1</v>
      </c>
      <c r="AC7" s="4"/>
      <c r="AD7" s="4"/>
      <c r="AE7" s="4"/>
      <c r="AF7" s="4">
        <v>1</v>
      </c>
      <c r="AG7" s="4"/>
      <c r="AH7" s="4">
        <v>1</v>
      </c>
      <c r="AI7" s="4">
        <v>5</v>
      </c>
      <c r="AJ7" s="4"/>
      <c r="AK7" s="4"/>
      <c r="AL7" s="4"/>
      <c r="AM7" s="4"/>
      <c r="AN7" s="4"/>
      <c r="AO7" s="4"/>
      <c r="AP7" s="4">
        <v>1</v>
      </c>
      <c r="AQ7" s="4">
        <v>124</v>
      </c>
      <c r="AR7" s="4"/>
      <c r="AS7" s="4"/>
      <c r="AT7" s="4">
        <v>1</v>
      </c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>
        <v>8</v>
      </c>
      <c r="BG7" s="4"/>
      <c r="BH7" s="4"/>
      <c r="BI7" s="8">
        <f t="shared" si="0"/>
        <v>291</v>
      </c>
      <c r="BJ7" s="4">
        <v>8</v>
      </c>
    </row>
    <row r="8" spans="1:62" x14ac:dyDescent="0.3">
      <c r="A8" s="14" t="s">
        <v>15</v>
      </c>
      <c r="B8" s="15" t="s">
        <v>12</v>
      </c>
      <c r="C8" s="15" t="s">
        <v>22</v>
      </c>
      <c r="D8" s="3"/>
      <c r="E8" s="8">
        <v>320</v>
      </c>
      <c r="F8" s="8">
        <v>4</v>
      </c>
      <c r="G8" s="4">
        <v>73</v>
      </c>
      <c r="H8" s="4">
        <v>182</v>
      </c>
      <c r="I8" s="4">
        <v>234</v>
      </c>
      <c r="J8" s="4">
        <v>350</v>
      </c>
      <c r="K8" s="4"/>
      <c r="L8" s="4">
        <v>34</v>
      </c>
      <c r="M8" s="4">
        <v>1</v>
      </c>
      <c r="N8" s="4"/>
      <c r="O8" s="4">
        <v>67</v>
      </c>
      <c r="P8" s="4"/>
      <c r="Q8" s="4"/>
      <c r="R8" s="4">
        <v>3</v>
      </c>
      <c r="S8" s="4"/>
      <c r="T8" s="4">
        <v>5</v>
      </c>
      <c r="U8" s="4"/>
      <c r="V8" s="4"/>
      <c r="W8" s="4"/>
      <c r="X8" s="4"/>
      <c r="Y8" s="4"/>
      <c r="Z8" s="4">
        <v>1</v>
      </c>
      <c r="AA8" s="4"/>
      <c r="AB8" s="4"/>
      <c r="AC8" s="4"/>
      <c r="AD8" s="4"/>
      <c r="AE8" s="4"/>
      <c r="AF8" s="4">
        <v>1</v>
      </c>
      <c r="AG8" s="4"/>
      <c r="AH8" s="4">
        <v>1</v>
      </c>
      <c r="AI8" s="4">
        <v>5</v>
      </c>
      <c r="AJ8" s="4"/>
      <c r="AK8" s="4"/>
      <c r="AL8" s="4"/>
      <c r="AM8" s="4"/>
      <c r="AN8" s="4"/>
      <c r="AO8" s="4"/>
      <c r="AP8" s="4">
        <v>2</v>
      </c>
      <c r="AQ8" s="4">
        <v>104</v>
      </c>
      <c r="AR8" s="4"/>
      <c r="AS8" s="4"/>
      <c r="AT8" s="4">
        <v>2</v>
      </c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>
        <v>5</v>
      </c>
      <c r="BG8" s="4"/>
      <c r="BH8" s="4"/>
      <c r="BI8" s="8">
        <f t="shared" si="0"/>
        <v>231</v>
      </c>
      <c r="BJ8" s="4">
        <v>3</v>
      </c>
    </row>
    <row r="9" spans="1:62" x14ac:dyDescent="0.3">
      <c r="A9" s="14" t="s">
        <v>15</v>
      </c>
      <c r="B9" s="15" t="s">
        <v>12</v>
      </c>
      <c r="C9" s="15" t="s">
        <v>23</v>
      </c>
      <c r="D9" s="3"/>
      <c r="E9" s="8">
        <v>325</v>
      </c>
      <c r="F9" s="8">
        <v>2</v>
      </c>
      <c r="G9" s="4">
        <v>65</v>
      </c>
      <c r="H9" s="4">
        <v>185</v>
      </c>
      <c r="I9" s="4">
        <v>256</v>
      </c>
      <c r="J9" s="4">
        <v>350</v>
      </c>
      <c r="K9" s="4"/>
      <c r="L9" s="4">
        <v>6</v>
      </c>
      <c r="M9" s="4">
        <v>2</v>
      </c>
      <c r="N9" s="4">
        <v>1</v>
      </c>
      <c r="O9" s="4">
        <v>78</v>
      </c>
      <c r="P9" s="4"/>
      <c r="Q9" s="4"/>
      <c r="R9" s="4">
        <v>13</v>
      </c>
      <c r="S9" s="4"/>
      <c r="T9" s="4"/>
      <c r="U9" s="4"/>
      <c r="V9" s="4"/>
      <c r="W9" s="4"/>
      <c r="X9" s="4"/>
      <c r="Y9" s="4"/>
      <c r="Z9" s="4">
        <v>1</v>
      </c>
      <c r="AA9" s="4"/>
      <c r="AB9" s="4"/>
      <c r="AC9" s="4"/>
      <c r="AD9" s="4">
        <v>2</v>
      </c>
      <c r="AE9" s="4"/>
      <c r="AF9" s="4"/>
      <c r="AG9" s="4"/>
      <c r="AH9" s="4"/>
      <c r="AI9" s="4">
        <v>7</v>
      </c>
      <c r="AJ9" s="4"/>
      <c r="AK9" s="4"/>
      <c r="AL9" s="4">
        <v>1</v>
      </c>
      <c r="AM9" s="4"/>
      <c r="AN9" s="4"/>
      <c r="AO9" s="4"/>
      <c r="AP9" s="4">
        <v>3</v>
      </c>
      <c r="AQ9" s="4">
        <v>124</v>
      </c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>
        <v>12</v>
      </c>
      <c r="BG9" s="4"/>
      <c r="BH9" s="4"/>
      <c r="BI9" s="8">
        <f t="shared" si="0"/>
        <v>250</v>
      </c>
      <c r="BJ9" s="4">
        <v>6</v>
      </c>
    </row>
    <row r="10" spans="1:62" x14ac:dyDescent="0.3">
      <c r="A10" s="14" t="s">
        <v>15</v>
      </c>
      <c r="B10" s="15" t="s">
        <v>12</v>
      </c>
      <c r="C10" s="15" t="s">
        <v>24</v>
      </c>
      <c r="D10" s="3"/>
      <c r="E10" s="8">
        <v>303</v>
      </c>
      <c r="F10" s="8">
        <v>1</v>
      </c>
      <c r="G10" s="4">
        <v>45</v>
      </c>
      <c r="H10" s="4">
        <v>175</v>
      </c>
      <c r="I10" s="4">
        <v>222</v>
      </c>
      <c r="J10" s="4">
        <v>300</v>
      </c>
      <c r="K10" s="4"/>
      <c r="L10" s="4">
        <v>13</v>
      </c>
      <c r="M10" s="4"/>
      <c r="N10" s="4"/>
      <c r="O10" s="4">
        <v>91</v>
      </c>
      <c r="P10" s="4"/>
      <c r="Q10" s="4"/>
      <c r="R10" s="4">
        <v>9</v>
      </c>
      <c r="S10" s="4"/>
      <c r="T10" s="4"/>
      <c r="U10" s="4"/>
      <c r="V10" s="4"/>
      <c r="W10" s="4"/>
      <c r="X10" s="4"/>
      <c r="Y10" s="4"/>
      <c r="Z10" s="4"/>
      <c r="AA10" s="4"/>
      <c r="AB10" s="4">
        <v>1</v>
      </c>
      <c r="AC10" s="4"/>
      <c r="AD10" s="4"/>
      <c r="AE10" s="4"/>
      <c r="AF10" s="4">
        <v>1</v>
      </c>
      <c r="AG10" s="4"/>
      <c r="AH10" s="4">
        <v>1</v>
      </c>
      <c r="AI10" s="4">
        <v>5</v>
      </c>
      <c r="AJ10" s="4"/>
      <c r="AK10" s="4"/>
      <c r="AL10" s="4"/>
      <c r="AM10" s="4"/>
      <c r="AN10" s="4"/>
      <c r="AO10" s="4"/>
      <c r="AP10" s="4"/>
      <c r="AQ10" s="4">
        <v>94</v>
      </c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>
        <v>5</v>
      </c>
      <c r="BG10" s="4"/>
      <c r="BH10" s="4"/>
      <c r="BI10" s="8">
        <f t="shared" si="0"/>
        <v>220</v>
      </c>
      <c r="BJ10" s="4">
        <v>2</v>
      </c>
    </row>
    <row r="11" spans="1:62" x14ac:dyDescent="0.3">
      <c r="A11" s="14" t="s">
        <v>15</v>
      </c>
      <c r="B11" s="15" t="s">
        <v>12</v>
      </c>
      <c r="C11" s="15" t="s">
        <v>25</v>
      </c>
      <c r="D11" s="3"/>
      <c r="E11" s="8">
        <v>574</v>
      </c>
      <c r="F11" s="8">
        <v>1</v>
      </c>
      <c r="G11" s="4">
        <v>110</v>
      </c>
      <c r="H11" s="4">
        <v>292</v>
      </c>
      <c r="I11" s="4">
        <v>393</v>
      </c>
      <c r="J11" s="4">
        <v>550</v>
      </c>
      <c r="K11" s="4"/>
      <c r="L11" s="4">
        <v>13</v>
      </c>
      <c r="M11" s="4"/>
      <c r="N11" s="4">
        <v>4</v>
      </c>
      <c r="O11" s="4">
        <v>110</v>
      </c>
      <c r="P11" s="4"/>
      <c r="Q11" s="4"/>
      <c r="R11" s="4">
        <v>7</v>
      </c>
      <c r="S11" s="4"/>
      <c r="T11" s="4">
        <v>1</v>
      </c>
      <c r="U11" s="4"/>
      <c r="V11" s="4"/>
      <c r="W11" s="4"/>
      <c r="X11" s="4">
        <v>1</v>
      </c>
      <c r="Y11" s="4"/>
      <c r="Z11" s="4"/>
      <c r="AA11" s="4"/>
      <c r="AB11" s="4">
        <v>8</v>
      </c>
      <c r="AC11" s="4"/>
      <c r="AD11" s="4">
        <v>1</v>
      </c>
      <c r="AE11" s="4"/>
      <c r="AF11" s="4"/>
      <c r="AG11" s="4"/>
      <c r="AH11" s="4"/>
      <c r="AI11" s="4">
        <v>10</v>
      </c>
      <c r="AJ11" s="4"/>
      <c r="AK11" s="4"/>
      <c r="AL11" s="4"/>
      <c r="AM11" s="4"/>
      <c r="AN11" s="4"/>
      <c r="AO11" s="4"/>
      <c r="AP11" s="4">
        <v>3</v>
      </c>
      <c r="AQ11" s="4">
        <v>187</v>
      </c>
      <c r="AR11" s="4"/>
      <c r="AS11" s="4"/>
      <c r="AT11" s="4">
        <v>1</v>
      </c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>
        <v>30</v>
      </c>
      <c r="BG11" s="4"/>
      <c r="BH11" s="4"/>
      <c r="BI11" s="8">
        <f t="shared" si="0"/>
        <v>376</v>
      </c>
      <c r="BJ11" s="4">
        <v>17</v>
      </c>
    </row>
    <row r="12" spans="1:62" x14ac:dyDescent="0.3">
      <c r="A12" s="14" t="s">
        <v>15</v>
      </c>
      <c r="B12" s="15" t="s">
        <v>12</v>
      </c>
      <c r="C12" s="15" t="s">
        <v>26</v>
      </c>
      <c r="D12" s="3"/>
      <c r="E12" s="8">
        <v>363</v>
      </c>
      <c r="F12" s="8">
        <v>1</v>
      </c>
      <c r="G12" s="4">
        <v>81</v>
      </c>
      <c r="H12" s="4">
        <v>196</v>
      </c>
      <c r="I12" s="4">
        <v>274</v>
      </c>
      <c r="J12" s="4">
        <v>400</v>
      </c>
      <c r="K12" s="4"/>
      <c r="L12" s="4">
        <v>1</v>
      </c>
      <c r="M12" s="4">
        <v>3</v>
      </c>
      <c r="N12" s="4">
        <v>3</v>
      </c>
      <c r="O12" s="4">
        <v>80</v>
      </c>
      <c r="P12" s="4"/>
      <c r="Q12" s="4"/>
      <c r="R12" s="4">
        <v>13</v>
      </c>
      <c r="S12" s="4"/>
      <c r="T12" s="4">
        <v>4</v>
      </c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>
        <v>3</v>
      </c>
      <c r="AJ12" s="4"/>
      <c r="AK12" s="4"/>
      <c r="AL12" s="4"/>
      <c r="AM12" s="4"/>
      <c r="AN12" s="4"/>
      <c r="AO12" s="4"/>
      <c r="AP12" s="4"/>
      <c r="AQ12" s="4">
        <v>152</v>
      </c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>
        <v>7</v>
      </c>
      <c r="BG12" s="4"/>
      <c r="BH12" s="4">
        <v>1</v>
      </c>
      <c r="BI12" s="8">
        <f t="shared" si="0"/>
        <v>267</v>
      </c>
      <c r="BJ12" s="4">
        <v>7</v>
      </c>
    </row>
    <row r="13" spans="1:62" x14ac:dyDescent="0.3">
      <c r="A13" s="14" t="s">
        <v>15</v>
      </c>
      <c r="B13" s="15" t="s">
        <v>12</v>
      </c>
      <c r="C13" s="15" t="s">
        <v>27</v>
      </c>
      <c r="D13" s="3"/>
      <c r="E13" s="8">
        <v>419</v>
      </c>
      <c r="F13" s="8">
        <v>0</v>
      </c>
      <c r="G13" s="4">
        <v>87</v>
      </c>
      <c r="H13" s="4">
        <v>212</v>
      </c>
      <c r="I13" s="4">
        <v>317</v>
      </c>
      <c r="J13" s="4">
        <v>450</v>
      </c>
      <c r="K13" s="4"/>
      <c r="L13" s="4">
        <v>5</v>
      </c>
      <c r="M13" s="4"/>
      <c r="N13" s="4">
        <v>3</v>
      </c>
      <c r="O13" s="4">
        <v>100</v>
      </c>
      <c r="P13" s="4"/>
      <c r="Q13" s="4"/>
      <c r="R13" s="4">
        <v>3</v>
      </c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>
        <v>3</v>
      </c>
      <c r="AJ13" s="4"/>
      <c r="AK13" s="4"/>
      <c r="AL13" s="4"/>
      <c r="AM13" s="4"/>
      <c r="AN13" s="4"/>
      <c r="AO13" s="4"/>
      <c r="AP13" s="4">
        <v>1</v>
      </c>
      <c r="AQ13" s="4">
        <v>185</v>
      </c>
      <c r="AR13" s="4"/>
      <c r="AS13" s="4"/>
      <c r="AT13" s="4">
        <v>1</v>
      </c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>
        <v>4</v>
      </c>
      <c r="BG13" s="4"/>
      <c r="BH13" s="4">
        <v>2</v>
      </c>
      <c r="BI13" s="8">
        <f t="shared" si="0"/>
        <v>307</v>
      </c>
      <c r="BJ13" s="4">
        <v>10</v>
      </c>
    </row>
    <row r="14" spans="1:62" x14ac:dyDescent="0.3">
      <c r="A14" s="14" t="s">
        <v>15</v>
      </c>
      <c r="B14" s="15" t="s">
        <v>12</v>
      </c>
      <c r="C14" s="15" t="s">
        <v>28</v>
      </c>
      <c r="D14" s="3"/>
      <c r="E14" s="8">
        <v>455</v>
      </c>
      <c r="F14" s="8">
        <v>3</v>
      </c>
      <c r="G14" s="4">
        <v>75</v>
      </c>
      <c r="H14" s="4">
        <v>289</v>
      </c>
      <c r="I14" s="4">
        <v>355</v>
      </c>
      <c r="J14" s="4">
        <v>450</v>
      </c>
      <c r="K14" s="4"/>
      <c r="L14" s="4">
        <v>10</v>
      </c>
      <c r="M14" s="4">
        <v>5</v>
      </c>
      <c r="N14" s="4">
        <v>10</v>
      </c>
      <c r="O14" s="4">
        <v>64</v>
      </c>
      <c r="P14" s="4"/>
      <c r="Q14" s="4"/>
      <c r="R14" s="4">
        <v>3</v>
      </c>
      <c r="S14" s="4"/>
      <c r="T14" s="4">
        <v>1</v>
      </c>
      <c r="U14" s="4"/>
      <c r="V14" s="4"/>
      <c r="W14" s="4"/>
      <c r="X14" s="4">
        <v>1</v>
      </c>
      <c r="Y14" s="4"/>
      <c r="Z14" s="4">
        <v>1</v>
      </c>
      <c r="AA14" s="4"/>
      <c r="AB14" s="4"/>
      <c r="AC14" s="4"/>
      <c r="AD14" s="4"/>
      <c r="AE14" s="4"/>
      <c r="AF14" s="4">
        <v>1</v>
      </c>
      <c r="AG14" s="4"/>
      <c r="AH14" s="4"/>
      <c r="AI14" s="4">
        <v>5</v>
      </c>
      <c r="AJ14" s="4"/>
      <c r="AK14" s="4"/>
      <c r="AL14" s="4"/>
      <c r="AM14" s="4"/>
      <c r="AN14" s="4"/>
      <c r="AO14" s="4"/>
      <c r="AP14" s="4"/>
      <c r="AQ14" s="4">
        <v>220</v>
      </c>
      <c r="AR14" s="4"/>
      <c r="AS14" s="4"/>
      <c r="AT14" s="4">
        <v>3</v>
      </c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>
        <v>7</v>
      </c>
      <c r="BG14" s="4"/>
      <c r="BH14" s="4">
        <v>1</v>
      </c>
      <c r="BI14" s="8">
        <f t="shared" si="0"/>
        <v>332</v>
      </c>
      <c r="BJ14" s="4">
        <v>23</v>
      </c>
    </row>
    <row r="15" spans="1:62" x14ac:dyDescent="0.3">
      <c r="A15" s="14" t="s">
        <v>15</v>
      </c>
      <c r="B15" s="15" t="s">
        <v>12</v>
      </c>
      <c r="C15" s="15" t="s">
        <v>29</v>
      </c>
      <c r="D15" s="3"/>
      <c r="E15" s="8">
        <v>681</v>
      </c>
      <c r="F15" s="8">
        <v>1</v>
      </c>
      <c r="G15" s="4">
        <v>140</v>
      </c>
      <c r="H15" s="4">
        <v>359</v>
      </c>
      <c r="I15" s="4">
        <v>484</v>
      </c>
      <c r="J15" s="4">
        <v>650</v>
      </c>
      <c r="K15" s="4"/>
      <c r="L15" s="4">
        <v>11</v>
      </c>
      <c r="M15" s="4">
        <v>1</v>
      </c>
      <c r="N15" s="4">
        <v>6</v>
      </c>
      <c r="O15" s="4">
        <v>144</v>
      </c>
      <c r="P15" s="4"/>
      <c r="Q15" s="4"/>
      <c r="R15" s="4">
        <v>26</v>
      </c>
      <c r="S15" s="4"/>
      <c r="T15" s="4">
        <v>2</v>
      </c>
      <c r="U15" s="4"/>
      <c r="V15" s="4"/>
      <c r="W15" s="4"/>
      <c r="X15" s="4">
        <v>2</v>
      </c>
      <c r="Y15" s="4"/>
      <c r="Z15" s="4">
        <v>2</v>
      </c>
      <c r="AA15" s="4"/>
      <c r="AB15" s="4">
        <v>3</v>
      </c>
      <c r="AC15" s="4"/>
      <c r="AD15" s="4">
        <v>1</v>
      </c>
      <c r="AE15" s="4"/>
      <c r="AF15" s="4">
        <v>1</v>
      </c>
      <c r="AG15" s="4"/>
      <c r="AH15" s="4"/>
      <c r="AI15" s="4">
        <v>5</v>
      </c>
      <c r="AJ15" s="4"/>
      <c r="AK15" s="4"/>
      <c r="AL15" s="4"/>
      <c r="AM15" s="4"/>
      <c r="AN15" s="4"/>
      <c r="AO15" s="4"/>
      <c r="AP15" s="4">
        <v>1</v>
      </c>
      <c r="AQ15" s="4">
        <v>239</v>
      </c>
      <c r="AR15" s="4"/>
      <c r="AS15" s="4"/>
      <c r="AT15" s="4"/>
      <c r="AU15" s="4"/>
      <c r="AV15" s="4"/>
      <c r="AW15" s="4">
        <v>1</v>
      </c>
      <c r="AX15" s="4"/>
      <c r="AY15" s="4"/>
      <c r="AZ15" s="4"/>
      <c r="BA15" s="4"/>
      <c r="BB15" s="4"/>
      <c r="BC15" s="4"/>
      <c r="BD15" s="4"/>
      <c r="BE15" s="4"/>
      <c r="BF15" s="4">
        <v>21</v>
      </c>
      <c r="BG15" s="4"/>
      <c r="BH15" s="4">
        <v>1</v>
      </c>
      <c r="BI15" s="8">
        <f t="shared" si="0"/>
        <v>467</v>
      </c>
      <c r="BJ15" s="4">
        <v>17</v>
      </c>
    </row>
    <row r="16" spans="1:62" x14ac:dyDescent="0.3">
      <c r="A16" s="14" t="s">
        <v>15</v>
      </c>
      <c r="B16" s="15" t="s">
        <v>12</v>
      </c>
      <c r="C16" s="15" t="s">
        <v>30</v>
      </c>
      <c r="D16" s="3"/>
      <c r="E16" s="8">
        <v>591</v>
      </c>
      <c r="F16" s="8">
        <v>3</v>
      </c>
      <c r="G16" s="4">
        <v>101</v>
      </c>
      <c r="H16" s="4">
        <v>297</v>
      </c>
      <c r="I16" s="4">
        <v>378</v>
      </c>
      <c r="J16" s="4">
        <v>550</v>
      </c>
      <c r="K16" s="4"/>
      <c r="L16" s="4">
        <v>4</v>
      </c>
      <c r="M16" s="4"/>
      <c r="N16" s="4">
        <v>4</v>
      </c>
      <c r="O16" s="4">
        <v>97</v>
      </c>
      <c r="P16" s="4"/>
      <c r="Q16" s="4"/>
      <c r="R16" s="4">
        <v>8</v>
      </c>
      <c r="S16" s="4"/>
      <c r="T16" s="4">
        <v>1</v>
      </c>
      <c r="U16" s="4"/>
      <c r="V16" s="4"/>
      <c r="W16" s="4"/>
      <c r="X16" s="4">
        <v>1</v>
      </c>
      <c r="Y16" s="4"/>
      <c r="Z16" s="4"/>
      <c r="AA16" s="4"/>
      <c r="AB16" s="4">
        <v>1</v>
      </c>
      <c r="AC16" s="4"/>
      <c r="AD16" s="4"/>
      <c r="AE16" s="4"/>
      <c r="AF16" s="4">
        <v>2</v>
      </c>
      <c r="AG16" s="4"/>
      <c r="AH16" s="4"/>
      <c r="AI16" s="4">
        <v>5</v>
      </c>
      <c r="AJ16" s="4"/>
      <c r="AK16" s="4"/>
      <c r="AL16" s="4"/>
      <c r="AM16" s="4"/>
      <c r="AN16" s="4"/>
      <c r="AO16" s="4"/>
      <c r="AP16" s="4">
        <v>2</v>
      </c>
      <c r="AQ16" s="4">
        <v>223</v>
      </c>
      <c r="AR16" s="4"/>
      <c r="AS16" s="4"/>
      <c r="AT16" s="4">
        <v>2</v>
      </c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>
        <v>1</v>
      </c>
      <c r="BF16" s="4">
        <v>24</v>
      </c>
      <c r="BG16" s="4"/>
      <c r="BH16" s="4"/>
      <c r="BI16" s="8">
        <f t="shared" si="0"/>
        <v>375</v>
      </c>
      <c r="BJ16" s="4">
        <v>3</v>
      </c>
    </row>
    <row r="17" spans="1:62" x14ac:dyDescent="0.3">
      <c r="A17" s="14" t="s">
        <v>15</v>
      </c>
      <c r="B17" s="15" t="s">
        <v>12</v>
      </c>
      <c r="C17" s="15" t="s">
        <v>31</v>
      </c>
      <c r="D17" s="3"/>
      <c r="E17" s="8">
        <v>757</v>
      </c>
      <c r="F17" s="8">
        <v>2</v>
      </c>
      <c r="G17" s="4">
        <v>115</v>
      </c>
      <c r="H17" s="4">
        <v>386</v>
      </c>
      <c r="I17" s="4">
        <v>517</v>
      </c>
      <c r="J17" s="4">
        <v>700</v>
      </c>
      <c r="K17" s="4"/>
      <c r="L17" s="4">
        <v>16</v>
      </c>
      <c r="M17" s="4"/>
      <c r="N17" s="4">
        <v>4</v>
      </c>
      <c r="O17" s="4">
        <v>134</v>
      </c>
      <c r="P17" s="4"/>
      <c r="Q17" s="4"/>
      <c r="R17" s="4">
        <v>17</v>
      </c>
      <c r="S17" s="4"/>
      <c r="T17" s="4">
        <v>3</v>
      </c>
      <c r="U17" s="4"/>
      <c r="V17" s="4"/>
      <c r="W17" s="4"/>
      <c r="X17" s="4"/>
      <c r="Y17" s="4"/>
      <c r="Z17" s="4">
        <v>1</v>
      </c>
      <c r="AA17" s="4"/>
      <c r="AB17" s="4">
        <v>16</v>
      </c>
      <c r="AC17" s="4"/>
      <c r="AD17" s="4">
        <v>1</v>
      </c>
      <c r="AE17" s="4"/>
      <c r="AF17" s="4">
        <v>1</v>
      </c>
      <c r="AG17" s="4"/>
      <c r="AH17" s="4"/>
      <c r="AI17" s="4">
        <v>20</v>
      </c>
      <c r="AJ17" s="4"/>
      <c r="AK17" s="4"/>
      <c r="AL17" s="4"/>
      <c r="AM17" s="4"/>
      <c r="AN17" s="4"/>
      <c r="AO17" s="4"/>
      <c r="AP17" s="4">
        <v>1</v>
      </c>
      <c r="AQ17" s="4">
        <v>253</v>
      </c>
      <c r="AR17" s="4"/>
      <c r="AS17" s="4"/>
      <c r="AT17" s="4">
        <v>1</v>
      </c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>
        <v>4</v>
      </c>
      <c r="BF17" s="4">
        <v>24</v>
      </c>
      <c r="BG17" s="4"/>
      <c r="BH17" s="4">
        <v>2</v>
      </c>
      <c r="BI17" s="8">
        <f t="shared" si="0"/>
        <v>498</v>
      </c>
      <c r="BJ17" s="4">
        <v>18</v>
      </c>
    </row>
    <row r="18" spans="1:62" x14ac:dyDescent="0.3">
      <c r="A18" s="14" t="s">
        <v>15</v>
      </c>
      <c r="B18" s="15" t="s">
        <v>12</v>
      </c>
      <c r="C18" s="15" t="s">
        <v>32</v>
      </c>
      <c r="D18" s="3"/>
      <c r="E18" s="8">
        <v>557</v>
      </c>
      <c r="F18" s="8">
        <v>3</v>
      </c>
      <c r="G18" s="4">
        <v>139</v>
      </c>
      <c r="H18" s="4">
        <v>340</v>
      </c>
      <c r="I18" s="4">
        <v>384</v>
      </c>
      <c r="J18" s="4">
        <v>500</v>
      </c>
      <c r="K18" s="4"/>
      <c r="L18" s="4">
        <v>5</v>
      </c>
      <c r="M18" s="4"/>
      <c r="N18" s="4">
        <v>2</v>
      </c>
      <c r="O18" s="4">
        <v>80</v>
      </c>
      <c r="P18" s="4"/>
      <c r="Q18" s="4"/>
      <c r="R18" s="4"/>
      <c r="S18" s="4"/>
      <c r="T18" s="4">
        <v>2</v>
      </c>
      <c r="U18" s="4"/>
      <c r="V18" s="4"/>
      <c r="W18" s="4"/>
      <c r="X18" s="4"/>
      <c r="Y18" s="4"/>
      <c r="Z18" s="4"/>
      <c r="AA18" s="4"/>
      <c r="AB18" s="4">
        <v>10</v>
      </c>
      <c r="AC18" s="4"/>
      <c r="AD18" s="4"/>
      <c r="AE18" s="4"/>
      <c r="AF18" s="4">
        <v>2</v>
      </c>
      <c r="AG18" s="4"/>
      <c r="AH18" s="4"/>
      <c r="AI18" s="4">
        <v>10</v>
      </c>
      <c r="AJ18" s="4"/>
      <c r="AK18" s="4"/>
      <c r="AL18" s="4"/>
      <c r="AM18" s="4"/>
      <c r="AN18" s="4"/>
      <c r="AO18" s="4"/>
      <c r="AP18" s="4">
        <v>6</v>
      </c>
      <c r="AQ18" s="4">
        <v>181</v>
      </c>
      <c r="AR18" s="4"/>
      <c r="AS18" s="4"/>
      <c r="AT18" s="4"/>
      <c r="AU18" s="4"/>
      <c r="AV18" s="4"/>
      <c r="AW18" s="4">
        <v>3</v>
      </c>
      <c r="AX18" s="4"/>
      <c r="AY18" s="4"/>
      <c r="AZ18" s="4"/>
      <c r="BA18" s="4"/>
      <c r="BB18" s="4"/>
      <c r="BC18" s="4"/>
      <c r="BD18" s="4"/>
      <c r="BE18" s="4">
        <v>3</v>
      </c>
      <c r="BF18" s="4">
        <v>42</v>
      </c>
      <c r="BG18" s="4"/>
      <c r="BH18" s="4"/>
      <c r="BI18" s="8">
        <f t="shared" si="0"/>
        <v>346</v>
      </c>
      <c r="BJ18" s="4">
        <v>38</v>
      </c>
    </row>
    <row r="19" spans="1:62" x14ac:dyDescent="0.3">
      <c r="A19" s="14" t="s">
        <v>15</v>
      </c>
      <c r="B19" s="15" t="s">
        <v>12</v>
      </c>
      <c r="C19" s="15" t="s">
        <v>33</v>
      </c>
      <c r="D19" s="3"/>
      <c r="E19" s="8">
        <v>861</v>
      </c>
      <c r="F19" s="8">
        <v>2</v>
      </c>
      <c r="G19" s="4">
        <v>161</v>
      </c>
      <c r="H19" s="4">
        <v>464</v>
      </c>
      <c r="I19" s="4">
        <v>655</v>
      </c>
      <c r="J19" s="4">
        <v>800</v>
      </c>
      <c r="K19" s="4"/>
      <c r="L19" s="4">
        <v>30</v>
      </c>
      <c r="M19" s="4"/>
      <c r="N19" s="4"/>
      <c r="O19" s="4">
        <v>177</v>
      </c>
      <c r="P19" s="4"/>
      <c r="Q19" s="4"/>
      <c r="R19" s="4">
        <v>20</v>
      </c>
      <c r="S19" s="4"/>
      <c r="T19" s="4"/>
      <c r="U19" s="4"/>
      <c r="V19" s="4"/>
      <c r="W19" s="4"/>
      <c r="X19" s="4"/>
      <c r="Y19" s="4"/>
      <c r="Z19" s="4"/>
      <c r="AA19" s="4"/>
      <c r="AB19" s="4">
        <v>3</v>
      </c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>
        <v>409</v>
      </c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>
        <v>16</v>
      </c>
      <c r="BG19" s="4"/>
      <c r="BH19" s="4"/>
      <c r="BI19" s="8">
        <f t="shared" si="0"/>
        <v>655</v>
      </c>
      <c r="BJ19" s="4"/>
    </row>
    <row r="20" spans="1:62" x14ac:dyDescent="0.3">
      <c r="A20" s="14" t="s">
        <v>15</v>
      </c>
      <c r="B20" s="15" t="s">
        <v>12</v>
      </c>
      <c r="C20" s="15" t="s">
        <v>34</v>
      </c>
      <c r="D20" s="3"/>
      <c r="E20" s="8">
        <v>185</v>
      </c>
      <c r="F20" s="8">
        <v>3</v>
      </c>
      <c r="G20" s="4">
        <v>18</v>
      </c>
      <c r="H20" s="4">
        <v>93</v>
      </c>
      <c r="I20" s="4">
        <v>139</v>
      </c>
      <c r="J20" s="4">
        <v>200</v>
      </c>
      <c r="K20" s="4"/>
      <c r="L20" s="4">
        <v>3</v>
      </c>
      <c r="M20" s="4">
        <v>6</v>
      </c>
      <c r="N20" s="4">
        <v>1</v>
      </c>
      <c r="O20" s="4">
        <v>31</v>
      </c>
      <c r="P20" s="4"/>
      <c r="Q20" s="4"/>
      <c r="R20" s="4">
        <v>3</v>
      </c>
      <c r="S20" s="4"/>
      <c r="T20" s="4"/>
      <c r="U20" s="4"/>
      <c r="V20" s="4"/>
      <c r="W20" s="4"/>
      <c r="X20" s="4">
        <v>1</v>
      </c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>
        <v>2</v>
      </c>
      <c r="AJ20" s="4"/>
      <c r="AK20" s="4"/>
      <c r="AL20" s="4"/>
      <c r="AM20" s="4"/>
      <c r="AN20" s="4"/>
      <c r="AO20" s="4"/>
      <c r="AP20" s="4"/>
      <c r="AQ20" s="4">
        <v>84</v>
      </c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>
        <v>7</v>
      </c>
      <c r="BG20" s="4"/>
      <c r="BH20" s="4"/>
      <c r="BI20" s="8">
        <f t="shared" si="0"/>
        <v>138</v>
      </c>
      <c r="BJ20" s="4">
        <v>1</v>
      </c>
    </row>
    <row r="21" spans="1:62" x14ac:dyDescent="0.3">
      <c r="A21" s="14" t="s">
        <v>15</v>
      </c>
      <c r="B21" s="15" t="s">
        <v>12</v>
      </c>
      <c r="C21" s="15" t="s">
        <v>35</v>
      </c>
      <c r="D21" s="3"/>
      <c r="E21" s="8">
        <v>484</v>
      </c>
      <c r="F21" s="8">
        <v>18</v>
      </c>
      <c r="G21" s="4">
        <v>120</v>
      </c>
      <c r="H21" s="4">
        <v>280</v>
      </c>
      <c r="I21" s="4">
        <v>365</v>
      </c>
      <c r="J21" s="4">
        <v>500</v>
      </c>
      <c r="K21" s="4"/>
      <c r="L21" s="4">
        <v>14</v>
      </c>
      <c r="M21" s="4">
        <v>4</v>
      </c>
      <c r="N21" s="4">
        <v>2</v>
      </c>
      <c r="O21" s="4">
        <v>136</v>
      </c>
      <c r="P21" s="4"/>
      <c r="Q21" s="4"/>
      <c r="R21" s="4">
        <v>20</v>
      </c>
      <c r="S21" s="4"/>
      <c r="T21" s="4">
        <v>2</v>
      </c>
      <c r="U21" s="4"/>
      <c r="V21" s="4"/>
      <c r="W21" s="4"/>
      <c r="X21" s="4"/>
      <c r="Y21" s="4"/>
      <c r="Z21" s="4">
        <v>1</v>
      </c>
      <c r="AA21" s="4"/>
      <c r="AB21" s="4"/>
      <c r="AC21" s="4"/>
      <c r="AD21" s="4"/>
      <c r="AE21" s="4"/>
      <c r="AF21" s="4"/>
      <c r="AG21" s="4"/>
      <c r="AH21" s="4"/>
      <c r="AI21" s="4">
        <v>6</v>
      </c>
      <c r="AJ21" s="4"/>
      <c r="AK21" s="4"/>
      <c r="AL21" s="4"/>
      <c r="AM21" s="4"/>
      <c r="AN21" s="4"/>
      <c r="AO21" s="4"/>
      <c r="AP21" s="4">
        <v>2</v>
      </c>
      <c r="AQ21" s="4">
        <v>161</v>
      </c>
      <c r="AR21" s="4"/>
      <c r="AS21" s="4"/>
      <c r="AT21" s="4">
        <v>1</v>
      </c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>
        <v>6</v>
      </c>
      <c r="BG21" s="4"/>
      <c r="BH21" s="4"/>
      <c r="BI21" s="8">
        <f t="shared" si="0"/>
        <v>355</v>
      </c>
      <c r="BJ21" s="4">
        <v>10</v>
      </c>
    </row>
    <row r="22" spans="1:62" x14ac:dyDescent="0.3">
      <c r="A22" s="14" t="s">
        <v>15</v>
      </c>
      <c r="B22" s="15" t="s">
        <v>12</v>
      </c>
      <c r="C22" s="15" t="s">
        <v>36</v>
      </c>
      <c r="D22" s="3"/>
      <c r="E22" s="8">
        <v>268</v>
      </c>
      <c r="F22" s="8">
        <v>1</v>
      </c>
      <c r="G22" s="4">
        <v>60</v>
      </c>
      <c r="H22" s="4">
        <v>173</v>
      </c>
      <c r="I22" s="4">
        <v>237</v>
      </c>
      <c r="J22" s="4">
        <v>300</v>
      </c>
      <c r="K22" s="4"/>
      <c r="L22" s="4">
        <v>10</v>
      </c>
      <c r="M22" s="4"/>
      <c r="N22" s="4"/>
      <c r="O22" s="4">
        <v>59</v>
      </c>
      <c r="P22" s="4"/>
      <c r="Q22" s="4"/>
      <c r="R22" s="4">
        <v>17</v>
      </c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>
        <v>1</v>
      </c>
      <c r="AE22" s="4"/>
      <c r="AF22" s="4"/>
      <c r="AG22" s="4"/>
      <c r="AH22" s="4"/>
      <c r="AI22" s="4">
        <v>1</v>
      </c>
      <c r="AJ22" s="4"/>
      <c r="AK22" s="4"/>
      <c r="AL22" s="4"/>
      <c r="AM22" s="4"/>
      <c r="AN22" s="4"/>
      <c r="AO22" s="4"/>
      <c r="AP22" s="4"/>
      <c r="AQ22" s="4">
        <v>138</v>
      </c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>
        <v>8</v>
      </c>
      <c r="BG22" s="4"/>
      <c r="BH22" s="4"/>
      <c r="BI22" s="8">
        <f t="shared" si="0"/>
        <v>234</v>
      </c>
      <c r="BJ22" s="4">
        <v>3</v>
      </c>
    </row>
    <row r="23" spans="1:62" x14ac:dyDescent="0.3">
      <c r="A23" s="14" t="s">
        <v>15</v>
      </c>
      <c r="B23" s="15" t="s">
        <v>12</v>
      </c>
      <c r="C23" s="15" t="s">
        <v>37</v>
      </c>
      <c r="D23" s="3"/>
      <c r="E23" s="8">
        <v>489</v>
      </c>
      <c r="F23" s="8">
        <v>3</v>
      </c>
      <c r="G23" s="4">
        <v>97</v>
      </c>
      <c r="H23" s="4">
        <v>311</v>
      </c>
      <c r="I23" s="4">
        <v>363</v>
      </c>
      <c r="J23" s="4">
        <v>500</v>
      </c>
      <c r="K23" s="4"/>
      <c r="L23" s="4">
        <v>5</v>
      </c>
      <c r="M23" s="4">
        <v>1</v>
      </c>
      <c r="N23" s="4">
        <v>1</v>
      </c>
      <c r="O23" s="4">
        <v>66</v>
      </c>
      <c r="P23" s="4"/>
      <c r="Q23" s="4"/>
      <c r="R23" s="4">
        <v>13</v>
      </c>
      <c r="S23" s="4"/>
      <c r="T23" s="4">
        <v>7</v>
      </c>
      <c r="U23" s="4"/>
      <c r="V23" s="4"/>
      <c r="W23" s="4"/>
      <c r="X23" s="4"/>
      <c r="Y23" s="4"/>
      <c r="Z23" s="4"/>
      <c r="AA23" s="4"/>
      <c r="AB23" s="4">
        <v>3</v>
      </c>
      <c r="AC23" s="4"/>
      <c r="AD23" s="4">
        <v>1</v>
      </c>
      <c r="AE23" s="4"/>
      <c r="AF23" s="4"/>
      <c r="AG23" s="4"/>
      <c r="AH23" s="4">
        <v>1</v>
      </c>
      <c r="AI23" s="4"/>
      <c r="AJ23" s="4"/>
      <c r="AK23" s="4"/>
      <c r="AL23" s="4"/>
      <c r="AM23" s="4"/>
      <c r="AN23" s="4"/>
      <c r="AO23" s="4">
        <v>1</v>
      </c>
      <c r="AP23" s="4">
        <v>2</v>
      </c>
      <c r="AQ23" s="4">
        <v>205</v>
      </c>
      <c r="AR23" s="4"/>
      <c r="AS23" s="4"/>
      <c r="AT23" s="4">
        <v>4</v>
      </c>
      <c r="AU23" s="4"/>
      <c r="AV23" s="4"/>
      <c r="AW23" s="4">
        <v>2</v>
      </c>
      <c r="AX23" s="4"/>
      <c r="AY23" s="4"/>
      <c r="AZ23" s="4"/>
      <c r="BA23" s="4"/>
      <c r="BB23" s="4"/>
      <c r="BC23" s="4"/>
      <c r="BD23" s="4"/>
      <c r="BE23" s="4"/>
      <c r="BF23" s="4">
        <v>34</v>
      </c>
      <c r="BG23" s="4"/>
      <c r="BH23" s="4">
        <v>1</v>
      </c>
      <c r="BI23" s="8">
        <f t="shared" si="0"/>
        <v>347</v>
      </c>
      <c r="BJ23" s="4">
        <v>16</v>
      </c>
    </row>
    <row r="24" spans="1:62" x14ac:dyDescent="0.3">
      <c r="A24" s="14" t="s">
        <v>15</v>
      </c>
      <c r="B24" s="15" t="s">
        <v>12</v>
      </c>
      <c r="C24" s="15" t="s">
        <v>38</v>
      </c>
      <c r="D24" s="3"/>
      <c r="E24" s="8">
        <v>444</v>
      </c>
      <c r="F24" s="8">
        <v>3</v>
      </c>
      <c r="G24" s="4">
        <v>112</v>
      </c>
      <c r="H24" s="4">
        <v>302</v>
      </c>
      <c r="I24" s="4">
        <v>341</v>
      </c>
      <c r="J24" s="4">
        <v>450</v>
      </c>
      <c r="K24" s="4"/>
      <c r="L24" s="4">
        <v>5</v>
      </c>
      <c r="M24" s="4">
        <v>1</v>
      </c>
      <c r="N24" s="4">
        <v>1</v>
      </c>
      <c r="O24" s="4">
        <v>111</v>
      </c>
      <c r="P24" s="4"/>
      <c r="Q24" s="4"/>
      <c r="R24" s="4">
        <v>8</v>
      </c>
      <c r="S24" s="4"/>
      <c r="T24" s="4">
        <v>3</v>
      </c>
      <c r="U24" s="4"/>
      <c r="V24" s="4"/>
      <c r="W24" s="4"/>
      <c r="X24" s="4">
        <v>2</v>
      </c>
      <c r="Y24" s="4"/>
      <c r="Z24" s="4"/>
      <c r="AA24" s="4"/>
      <c r="AB24" s="4">
        <v>1</v>
      </c>
      <c r="AC24" s="4"/>
      <c r="AD24" s="4"/>
      <c r="AE24" s="4"/>
      <c r="AF24" s="4"/>
      <c r="AG24" s="4"/>
      <c r="AH24" s="4"/>
      <c r="AI24" s="4">
        <v>7</v>
      </c>
      <c r="AJ24" s="4"/>
      <c r="AK24" s="4"/>
      <c r="AL24" s="4"/>
      <c r="AM24" s="4"/>
      <c r="AN24" s="4"/>
      <c r="AO24" s="4"/>
      <c r="AP24" s="4">
        <v>2</v>
      </c>
      <c r="AQ24" s="4">
        <v>182</v>
      </c>
      <c r="AR24" s="4"/>
      <c r="AS24" s="4"/>
      <c r="AT24" s="4">
        <v>2</v>
      </c>
      <c r="AU24" s="4"/>
      <c r="AV24" s="4"/>
      <c r="AW24" s="4">
        <v>1</v>
      </c>
      <c r="AX24" s="4"/>
      <c r="AY24" s="4"/>
      <c r="AZ24" s="4"/>
      <c r="BA24" s="4"/>
      <c r="BB24" s="4"/>
      <c r="BC24" s="4"/>
      <c r="BD24" s="4"/>
      <c r="BE24" s="4"/>
      <c r="BF24" s="4">
        <v>5</v>
      </c>
      <c r="BG24" s="4"/>
      <c r="BH24" s="4">
        <v>1</v>
      </c>
      <c r="BI24" s="8">
        <f t="shared" si="0"/>
        <v>332</v>
      </c>
      <c r="BJ24" s="4">
        <v>8</v>
      </c>
    </row>
    <row r="25" spans="1:62" x14ac:dyDescent="0.3">
      <c r="A25" s="14" t="s">
        <v>15</v>
      </c>
      <c r="B25" s="15" t="s">
        <v>12</v>
      </c>
      <c r="C25" s="15" t="s">
        <v>39</v>
      </c>
      <c r="D25" s="3"/>
      <c r="E25" s="8">
        <v>218</v>
      </c>
      <c r="F25" s="8">
        <v>1</v>
      </c>
      <c r="G25" s="4">
        <v>53</v>
      </c>
      <c r="H25" s="4">
        <v>133</v>
      </c>
      <c r="I25" s="4">
        <v>159</v>
      </c>
      <c r="J25" s="4">
        <v>250</v>
      </c>
      <c r="K25" s="4"/>
      <c r="L25" s="4">
        <v>1</v>
      </c>
      <c r="M25" s="4">
        <v>1</v>
      </c>
      <c r="N25" s="4">
        <v>2</v>
      </c>
      <c r="O25" s="4">
        <v>37</v>
      </c>
      <c r="P25" s="4"/>
      <c r="Q25" s="4"/>
      <c r="R25" s="4">
        <v>3</v>
      </c>
      <c r="S25" s="4"/>
      <c r="T25" s="4"/>
      <c r="U25" s="4"/>
      <c r="V25" s="4"/>
      <c r="W25" s="4"/>
      <c r="X25" s="4"/>
      <c r="Y25" s="4"/>
      <c r="Z25" s="4"/>
      <c r="AA25" s="4"/>
      <c r="AB25" s="4">
        <v>1</v>
      </c>
      <c r="AC25" s="4"/>
      <c r="AD25" s="4"/>
      <c r="AE25" s="4"/>
      <c r="AF25" s="4">
        <v>1</v>
      </c>
      <c r="AG25" s="4"/>
      <c r="AH25" s="4"/>
      <c r="AI25" s="4"/>
      <c r="AJ25" s="4"/>
      <c r="AK25" s="4"/>
      <c r="AL25" s="4">
        <v>1</v>
      </c>
      <c r="AM25" s="4"/>
      <c r="AN25" s="4"/>
      <c r="AO25" s="4"/>
      <c r="AP25" s="4"/>
      <c r="AQ25" s="4">
        <v>102</v>
      </c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>
        <v>5</v>
      </c>
      <c r="BG25" s="4"/>
      <c r="BH25" s="4"/>
      <c r="BI25" s="8">
        <f t="shared" si="0"/>
        <v>154</v>
      </c>
      <c r="BJ25" s="4">
        <v>5</v>
      </c>
    </row>
    <row r="26" spans="1:62" x14ac:dyDescent="0.3">
      <c r="A26" s="14" t="s">
        <v>15</v>
      </c>
      <c r="B26" s="15" t="s">
        <v>12</v>
      </c>
      <c r="C26" s="15" t="s">
        <v>40</v>
      </c>
      <c r="D26" s="3"/>
      <c r="E26" s="8">
        <v>532</v>
      </c>
      <c r="F26" s="8">
        <v>3</v>
      </c>
      <c r="G26" s="4">
        <v>104</v>
      </c>
      <c r="H26" s="4">
        <v>318</v>
      </c>
      <c r="I26" s="4">
        <v>403</v>
      </c>
      <c r="J26" s="4">
        <v>500</v>
      </c>
      <c r="K26" s="4"/>
      <c r="L26" s="4">
        <v>6</v>
      </c>
      <c r="M26" s="4"/>
      <c r="N26" s="4">
        <v>1</v>
      </c>
      <c r="O26" s="4">
        <v>151</v>
      </c>
      <c r="P26" s="4"/>
      <c r="Q26" s="4"/>
      <c r="R26" s="4">
        <v>18</v>
      </c>
      <c r="S26" s="4"/>
      <c r="T26" s="4">
        <v>9</v>
      </c>
      <c r="U26" s="4"/>
      <c r="V26" s="4"/>
      <c r="W26" s="4"/>
      <c r="X26" s="4"/>
      <c r="Y26" s="4"/>
      <c r="Z26" s="4"/>
      <c r="AA26" s="4"/>
      <c r="AB26" s="4">
        <v>1</v>
      </c>
      <c r="AC26" s="4"/>
      <c r="AD26" s="4"/>
      <c r="AE26" s="4"/>
      <c r="AF26" s="4">
        <v>2</v>
      </c>
      <c r="AG26" s="4"/>
      <c r="AH26" s="4">
        <v>1</v>
      </c>
      <c r="AI26" s="4">
        <v>9</v>
      </c>
      <c r="AJ26" s="4"/>
      <c r="AK26" s="4"/>
      <c r="AL26" s="4">
        <v>1</v>
      </c>
      <c r="AM26" s="4"/>
      <c r="AN26" s="4"/>
      <c r="AO26" s="4"/>
      <c r="AP26" s="4">
        <v>1</v>
      </c>
      <c r="AQ26" s="4">
        <v>190</v>
      </c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>
        <v>4</v>
      </c>
      <c r="BG26" s="4"/>
      <c r="BH26" s="4"/>
      <c r="BI26" s="8">
        <f t="shared" si="0"/>
        <v>394</v>
      </c>
      <c r="BJ26" s="4">
        <v>9</v>
      </c>
    </row>
    <row r="27" spans="1:62" x14ac:dyDescent="0.3">
      <c r="A27" s="14" t="s">
        <v>15</v>
      </c>
      <c r="B27" s="15" t="s">
        <v>12</v>
      </c>
      <c r="C27" s="15" t="s">
        <v>41</v>
      </c>
      <c r="D27" s="3"/>
      <c r="E27" s="8">
        <v>515</v>
      </c>
      <c r="F27" s="8">
        <v>3</v>
      </c>
      <c r="G27" s="4">
        <v>111</v>
      </c>
      <c r="H27" s="4">
        <v>269</v>
      </c>
      <c r="I27" s="4">
        <v>348</v>
      </c>
      <c r="J27" s="4">
        <v>500</v>
      </c>
      <c r="K27" s="4"/>
      <c r="L27" s="4">
        <v>12</v>
      </c>
      <c r="M27" s="4"/>
      <c r="N27" s="4"/>
      <c r="O27" s="4">
        <v>83</v>
      </c>
      <c r="P27" s="4"/>
      <c r="Q27" s="4"/>
      <c r="R27" s="4">
        <v>13</v>
      </c>
      <c r="S27" s="4"/>
      <c r="T27" s="4"/>
      <c r="U27" s="4"/>
      <c r="V27" s="4"/>
      <c r="W27" s="4"/>
      <c r="X27" s="4"/>
      <c r="Y27" s="4"/>
      <c r="Z27" s="4"/>
      <c r="AA27" s="4"/>
      <c r="AB27" s="4">
        <v>5</v>
      </c>
      <c r="AC27" s="4"/>
      <c r="AD27" s="4"/>
      <c r="AE27" s="4"/>
      <c r="AF27" s="4"/>
      <c r="AG27" s="4"/>
      <c r="AH27" s="4"/>
      <c r="AI27" s="4">
        <v>22</v>
      </c>
      <c r="AJ27" s="4"/>
      <c r="AK27" s="4"/>
      <c r="AL27" s="4"/>
      <c r="AM27" s="4"/>
      <c r="AN27" s="4"/>
      <c r="AO27" s="4"/>
      <c r="AP27" s="4"/>
      <c r="AQ27" s="4">
        <v>194</v>
      </c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>
        <v>15</v>
      </c>
      <c r="BG27" s="4"/>
      <c r="BH27" s="4"/>
      <c r="BI27" s="8">
        <f t="shared" si="0"/>
        <v>344</v>
      </c>
      <c r="BJ27" s="4">
        <v>3</v>
      </c>
    </row>
    <row r="28" spans="1:62" x14ac:dyDescent="0.3">
      <c r="A28" s="14" t="s">
        <v>15</v>
      </c>
      <c r="B28" s="15" t="s">
        <v>12</v>
      </c>
      <c r="C28" s="15" t="s">
        <v>42</v>
      </c>
      <c r="D28" s="3"/>
      <c r="E28" s="8">
        <v>536</v>
      </c>
      <c r="F28" s="8">
        <v>3</v>
      </c>
      <c r="G28" s="4">
        <v>83</v>
      </c>
      <c r="H28" s="4">
        <v>302</v>
      </c>
      <c r="I28" s="4">
        <v>364</v>
      </c>
      <c r="J28" s="4">
        <v>500</v>
      </c>
      <c r="K28" s="4"/>
      <c r="L28" s="4">
        <v>10</v>
      </c>
      <c r="M28" s="4">
        <v>2</v>
      </c>
      <c r="N28" s="4">
        <v>2</v>
      </c>
      <c r="O28" s="4">
        <v>109</v>
      </c>
      <c r="P28" s="4"/>
      <c r="Q28" s="4"/>
      <c r="R28" s="4">
        <v>21</v>
      </c>
      <c r="S28" s="4"/>
      <c r="T28" s="4">
        <v>2</v>
      </c>
      <c r="U28" s="4"/>
      <c r="V28" s="4"/>
      <c r="W28" s="4"/>
      <c r="X28" s="4"/>
      <c r="Y28" s="4"/>
      <c r="Z28" s="4"/>
      <c r="AA28" s="4"/>
      <c r="AB28" s="4">
        <v>2</v>
      </c>
      <c r="AC28" s="4"/>
      <c r="AD28" s="4">
        <v>1</v>
      </c>
      <c r="AE28" s="4"/>
      <c r="AF28" s="4"/>
      <c r="AG28" s="4"/>
      <c r="AH28" s="4"/>
      <c r="AI28" s="4">
        <v>27</v>
      </c>
      <c r="AJ28" s="4"/>
      <c r="AK28" s="4"/>
      <c r="AL28" s="4">
        <v>1</v>
      </c>
      <c r="AM28" s="4"/>
      <c r="AN28" s="4"/>
      <c r="AO28" s="4"/>
      <c r="AP28" s="4"/>
      <c r="AQ28" s="4">
        <v>176</v>
      </c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>
        <v>3</v>
      </c>
      <c r="BG28" s="4"/>
      <c r="BH28" s="4"/>
      <c r="BI28" s="8">
        <f t="shared" si="0"/>
        <v>356</v>
      </c>
      <c r="BJ28" s="4">
        <v>6</v>
      </c>
    </row>
    <row r="29" spans="1:62" x14ac:dyDescent="0.3">
      <c r="A29" s="14" t="s">
        <v>15</v>
      </c>
      <c r="B29" s="15" t="s">
        <v>12</v>
      </c>
      <c r="C29" s="15" t="s">
        <v>43</v>
      </c>
      <c r="D29" s="3"/>
      <c r="E29" s="8">
        <v>405</v>
      </c>
      <c r="F29" s="8">
        <v>2</v>
      </c>
      <c r="G29" s="4">
        <v>64</v>
      </c>
      <c r="H29" s="4">
        <v>233</v>
      </c>
      <c r="I29" s="4">
        <v>385</v>
      </c>
      <c r="J29" s="4">
        <v>400</v>
      </c>
      <c r="K29" s="4"/>
      <c r="L29" s="4">
        <v>10</v>
      </c>
      <c r="M29" s="4"/>
      <c r="N29" s="4">
        <v>7</v>
      </c>
      <c r="O29" s="4">
        <v>120</v>
      </c>
      <c r="P29" s="4"/>
      <c r="Q29" s="4"/>
      <c r="R29" s="4">
        <v>19</v>
      </c>
      <c r="S29" s="4"/>
      <c r="T29" s="4"/>
      <c r="U29" s="4"/>
      <c r="V29" s="4"/>
      <c r="W29" s="4"/>
      <c r="X29" s="4"/>
      <c r="Y29" s="4"/>
      <c r="Z29" s="4"/>
      <c r="AA29" s="4"/>
      <c r="AB29" s="4">
        <v>5</v>
      </c>
      <c r="AC29" s="4"/>
      <c r="AD29" s="4"/>
      <c r="AE29" s="4"/>
      <c r="AF29" s="4"/>
      <c r="AG29" s="4"/>
      <c r="AH29" s="4"/>
      <c r="AI29" s="4">
        <v>6</v>
      </c>
      <c r="AJ29" s="4"/>
      <c r="AK29" s="4"/>
      <c r="AL29" s="4"/>
      <c r="AM29" s="4"/>
      <c r="AN29" s="4"/>
      <c r="AO29" s="4"/>
      <c r="AP29" s="4"/>
      <c r="AQ29" s="4">
        <v>212</v>
      </c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>
        <v>6</v>
      </c>
      <c r="BG29" s="4"/>
      <c r="BH29" s="4"/>
      <c r="BI29" s="8">
        <f t="shared" si="0"/>
        <v>385</v>
      </c>
      <c r="BJ29" s="4"/>
    </row>
    <row r="30" spans="1:62" x14ac:dyDescent="0.3">
      <c r="A30" s="14" t="s">
        <v>15</v>
      </c>
      <c r="B30" s="15" t="s">
        <v>12</v>
      </c>
      <c r="C30" s="15" t="s">
        <v>44</v>
      </c>
      <c r="D30" s="3"/>
      <c r="E30" s="8">
        <v>902</v>
      </c>
      <c r="F30" s="8"/>
      <c r="G30" s="4">
        <v>154</v>
      </c>
      <c r="H30" s="4">
        <v>420</v>
      </c>
      <c r="I30" s="4">
        <v>647</v>
      </c>
      <c r="J30" s="4">
        <v>850</v>
      </c>
      <c r="K30" s="4"/>
      <c r="L30" s="4">
        <v>31</v>
      </c>
      <c r="M30" s="4">
        <v>1</v>
      </c>
      <c r="N30" s="4">
        <v>9</v>
      </c>
      <c r="O30" s="4">
        <v>221</v>
      </c>
      <c r="P30" s="4"/>
      <c r="Q30" s="4"/>
      <c r="R30" s="4">
        <v>25</v>
      </c>
      <c r="S30" s="4"/>
      <c r="T30" s="4">
        <v>5</v>
      </c>
      <c r="U30" s="4"/>
      <c r="V30" s="4"/>
      <c r="W30" s="4"/>
      <c r="X30" s="4">
        <v>1</v>
      </c>
      <c r="Y30" s="4"/>
      <c r="Z30" s="4">
        <v>1</v>
      </c>
      <c r="AA30" s="4"/>
      <c r="AB30" s="4">
        <v>10</v>
      </c>
      <c r="AC30" s="4"/>
      <c r="AD30" s="4">
        <v>2</v>
      </c>
      <c r="AE30" s="4"/>
      <c r="AF30" s="4"/>
      <c r="AG30" s="4"/>
      <c r="AH30" s="4">
        <v>2</v>
      </c>
      <c r="AI30" s="4">
        <v>15</v>
      </c>
      <c r="AJ30" s="4"/>
      <c r="AK30" s="4"/>
      <c r="AL30" s="4"/>
      <c r="AM30" s="4"/>
      <c r="AN30" s="4"/>
      <c r="AO30" s="4"/>
      <c r="AP30" s="4"/>
      <c r="AQ30" s="4">
        <v>292</v>
      </c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>
        <v>2</v>
      </c>
      <c r="BF30" s="4">
        <v>16</v>
      </c>
      <c r="BG30" s="4"/>
      <c r="BH30" s="4">
        <v>1</v>
      </c>
      <c r="BI30" s="8">
        <f t="shared" si="0"/>
        <v>634</v>
      </c>
      <c r="BJ30" s="4">
        <v>13</v>
      </c>
    </row>
    <row r="31" spans="1:62" x14ac:dyDescent="0.3">
      <c r="A31" s="14" t="s">
        <v>15</v>
      </c>
      <c r="B31" s="15" t="s">
        <v>12</v>
      </c>
      <c r="C31" s="15" t="s">
        <v>45</v>
      </c>
      <c r="D31" s="3"/>
      <c r="E31" s="8">
        <v>326</v>
      </c>
      <c r="F31" s="8">
        <v>4</v>
      </c>
      <c r="G31" s="4">
        <v>53</v>
      </c>
      <c r="H31" s="4">
        <v>206</v>
      </c>
      <c r="I31" s="4">
        <v>261</v>
      </c>
      <c r="J31" s="4">
        <v>350</v>
      </c>
      <c r="K31" s="4"/>
      <c r="L31" s="4">
        <v>3</v>
      </c>
      <c r="M31" s="4"/>
      <c r="N31" s="4">
        <v>4</v>
      </c>
      <c r="O31" s="4">
        <v>80</v>
      </c>
      <c r="P31" s="4"/>
      <c r="Q31" s="4"/>
      <c r="R31" s="4">
        <v>8</v>
      </c>
      <c r="S31" s="4"/>
      <c r="T31" s="4">
        <v>1</v>
      </c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>
        <v>4</v>
      </c>
      <c r="AJ31" s="4"/>
      <c r="AK31" s="4"/>
      <c r="AL31" s="4"/>
      <c r="AM31" s="4"/>
      <c r="AN31" s="4"/>
      <c r="AO31" s="4"/>
      <c r="AP31" s="4">
        <v>2</v>
      </c>
      <c r="AQ31" s="4">
        <v>152</v>
      </c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>
        <v>1</v>
      </c>
      <c r="BF31" s="4">
        <v>2</v>
      </c>
      <c r="BG31" s="4"/>
      <c r="BH31" s="4"/>
      <c r="BI31" s="8">
        <f t="shared" si="0"/>
        <v>257</v>
      </c>
      <c r="BJ31" s="4">
        <v>4</v>
      </c>
    </row>
    <row r="32" spans="1:62" x14ac:dyDescent="0.3">
      <c r="A32" s="14" t="s">
        <v>15</v>
      </c>
      <c r="B32" s="15" t="s">
        <v>12</v>
      </c>
      <c r="C32" s="15" t="s">
        <v>46</v>
      </c>
      <c r="D32" s="3"/>
      <c r="E32" s="8">
        <v>526</v>
      </c>
      <c r="F32" s="8">
        <v>4</v>
      </c>
      <c r="G32" s="4">
        <v>80</v>
      </c>
      <c r="H32" s="4">
        <v>263</v>
      </c>
      <c r="I32" s="4">
        <v>324</v>
      </c>
      <c r="J32" s="4">
        <v>500</v>
      </c>
      <c r="K32" s="4"/>
      <c r="L32" s="4">
        <v>8</v>
      </c>
      <c r="M32" s="4">
        <v>3</v>
      </c>
      <c r="N32" s="4"/>
      <c r="O32" s="4">
        <v>103</v>
      </c>
      <c r="P32" s="4"/>
      <c r="Q32" s="4"/>
      <c r="R32" s="4">
        <v>13</v>
      </c>
      <c r="S32" s="4"/>
      <c r="T32" s="4">
        <v>4</v>
      </c>
      <c r="U32" s="4"/>
      <c r="V32" s="4"/>
      <c r="W32" s="4"/>
      <c r="X32" s="4"/>
      <c r="Y32" s="4"/>
      <c r="Z32" s="4"/>
      <c r="AA32" s="4"/>
      <c r="AB32" s="4">
        <v>2</v>
      </c>
      <c r="AC32" s="4"/>
      <c r="AD32" s="4"/>
      <c r="AE32" s="4"/>
      <c r="AF32" s="4"/>
      <c r="AG32" s="4"/>
      <c r="AH32" s="4"/>
      <c r="AI32" s="4">
        <v>10</v>
      </c>
      <c r="AJ32" s="4"/>
      <c r="AK32" s="4"/>
      <c r="AL32" s="4">
        <v>1</v>
      </c>
      <c r="AM32" s="4"/>
      <c r="AN32" s="4"/>
      <c r="AO32" s="4"/>
      <c r="AP32" s="4"/>
      <c r="AQ32" s="4">
        <v>155</v>
      </c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>
        <v>15</v>
      </c>
      <c r="BG32" s="4"/>
      <c r="BH32" s="4"/>
      <c r="BI32" s="8">
        <f t="shared" si="0"/>
        <v>314</v>
      </c>
      <c r="BJ32" s="4">
        <v>9</v>
      </c>
    </row>
    <row r="33" spans="1:62" x14ac:dyDescent="0.3">
      <c r="A33" s="14" t="s">
        <v>15</v>
      </c>
      <c r="B33" s="15" t="s">
        <v>12</v>
      </c>
      <c r="C33" s="15" t="s">
        <v>96</v>
      </c>
      <c r="D33" s="3"/>
      <c r="E33" s="8"/>
      <c r="F33" s="8"/>
      <c r="G33" s="4">
        <v>13</v>
      </c>
      <c r="H33" s="4">
        <v>35</v>
      </c>
      <c r="I33" s="4">
        <v>35</v>
      </c>
      <c r="J33" s="4">
        <v>50</v>
      </c>
      <c r="K33" s="4">
        <v>0</v>
      </c>
      <c r="L33" s="4">
        <v>0</v>
      </c>
      <c r="M33" s="4">
        <v>0</v>
      </c>
      <c r="N33" s="4">
        <v>0</v>
      </c>
      <c r="O33" s="4">
        <v>7</v>
      </c>
      <c r="P33" s="4">
        <v>0</v>
      </c>
      <c r="Q33" s="4">
        <v>0</v>
      </c>
      <c r="R33" s="4">
        <v>1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27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8">
        <f t="shared" si="0"/>
        <v>35</v>
      </c>
      <c r="BJ33" s="4"/>
    </row>
    <row r="34" spans="1:62" s="13" customFormat="1" x14ac:dyDescent="0.3">
      <c r="B34" s="12" t="s">
        <v>7</v>
      </c>
      <c r="C34" s="12">
        <f>COUNTA(C2:C33)</f>
        <v>32</v>
      </c>
      <c r="D34" s="12"/>
      <c r="E34" s="9">
        <f t="shared" ref="E34:BJ34" si="1">SUM(E2:E33)</f>
        <v>15722</v>
      </c>
      <c r="F34" s="6">
        <f t="shared" si="1"/>
        <v>88</v>
      </c>
      <c r="G34" s="9">
        <f t="shared" si="1"/>
        <v>2982</v>
      </c>
      <c r="H34" s="9">
        <f t="shared" si="1"/>
        <v>8633</v>
      </c>
      <c r="I34" s="9">
        <f t="shared" si="1"/>
        <v>11397</v>
      </c>
      <c r="J34" s="9">
        <f t="shared" si="1"/>
        <v>15500</v>
      </c>
      <c r="K34" s="9">
        <f t="shared" si="1"/>
        <v>0</v>
      </c>
      <c r="L34" s="9">
        <f t="shared" si="1"/>
        <v>337</v>
      </c>
      <c r="M34" s="9">
        <f t="shared" si="1"/>
        <v>50</v>
      </c>
      <c r="N34" s="9">
        <f t="shared" si="1"/>
        <v>80</v>
      </c>
      <c r="O34" s="9">
        <f t="shared" si="1"/>
        <v>3288</v>
      </c>
      <c r="P34" s="9">
        <f t="shared" si="1"/>
        <v>0</v>
      </c>
      <c r="Q34" s="9">
        <f t="shared" si="1"/>
        <v>0</v>
      </c>
      <c r="R34" s="9">
        <f t="shared" si="1"/>
        <v>381</v>
      </c>
      <c r="S34" s="9">
        <f t="shared" si="1"/>
        <v>0</v>
      </c>
      <c r="T34" s="9">
        <f t="shared" si="1"/>
        <v>66</v>
      </c>
      <c r="U34" s="9">
        <f t="shared" si="1"/>
        <v>0</v>
      </c>
      <c r="V34" s="9">
        <f t="shared" si="1"/>
        <v>0</v>
      </c>
      <c r="W34" s="9">
        <f t="shared" si="1"/>
        <v>0</v>
      </c>
      <c r="X34" s="9">
        <f t="shared" si="1"/>
        <v>11</v>
      </c>
      <c r="Y34" s="9">
        <f t="shared" si="1"/>
        <v>0</v>
      </c>
      <c r="Z34" s="9">
        <f t="shared" si="1"/>
        <v>14</v>
      </c>
      <c r="AA34" s="9">
        <f t="shared" si="1"/>
        <v>0</v>
      </c>
      <c r="AB34" s="9">
        <f t="shared" si="1"/>
        <v>82</v>
      </c>
      <c r="AC34" s="9">
        <f t="shared" si="1"/>
        <v>0</v>
      </c>
      <c r="AD34" s="9">
        <f t="shared" si="1"/>
        <v>23</v>
      </c>
      <c r="AE34" s="9">
        <f t="shared" si="1"/>
        <v>0</v>
      </c>
      <c r="AF34" s="9">
        <f t="shared" si="1"/>
        <v>21</v>
      </c>
      <c r="AG34" s="9">
        <f t="shared" si="1"/>
        <v>0</v>
      </c>
      <c r="AH34" s="9">
        <f t="shared" si="1"/>
        <v>15</v>
      </c>
      <c r="AI34" s="9">
        <f t="shared" si="1"/>
        <v>248</v>
      </c>
      <c r="AJ34" s="9">
        <f t="shared" si="1"/>
        <v>0</v>
      </c>
      <c r="AK34" s="9">
        <f t="shared" si="1"/>
        <v>0</v>
      </c>
      <c r="AL34" s="9">
        <f t="shared" si="1"/>
        <v>5</v>
      </c>
      <c r="AM34" s="9">
        <f t="shared" si="1"/>
        <v>0</v>
      </c>
      <c r="AN34" s="9">
        <f t="shared" si="1"/>
        <v>0</v>
      </c>
      <c r="AO34" s="9">
        <f t="shared" si="1"/>
        <v>1</v>
      </c>
      <c r="AP34" s="9">
        <f t="shared" si="1"/>
        <v>47</v>
      </c>
      <c r="AQ34" s="9">
        <f t="shared" si="1"/>
        <v>5990</v>
      </c>
      <c r="AR34" s="9">
        <f t="shared" si="1"/>
        <v>0</v>
      </c>
      <c r="AS34" s="9">
        <f t="shared" si="1"/>
        <v>0</v>
      </c>
      <c r="AT34" s="9">
        <f t="shared" si="1"/>
        <v>19</v>
      </c>
      <c r="AU34" s="9">
        <f t="shared" si="1"/>
        <v>0</v>
      </c>
      <c r="AV34" s="9">
        <f t="shared" si="1"/>
        <v>0</v>
      </c>
      <c r="AW34" s="9">
        <f t="shared" si="1"/>
        <v>8</v>
      </c>
      <c r="AX34" s="9">
        <f t="shared" si="1"/>
        <v>0</v>
      </c>
      <c r="AY34" s="9">
        <f t="shared" si="1"/>
        <v>0</v>
      </c>
      <c r="AZ34" s="9">
        <f t="shared" si="1"/>
        <v>0</v>
      </c>
      <c r="BA34" s="9">
        <f t="shared" si="1"/>
        <v>0</v>
      </c>
      <c r="BB34" s="9">
        <f t="shared" si="1"/>
        <v>0</v>
      </c>
      <c r="BC34" s="9">
        <f t="shared" si="1"/>
        <v>0</v>
      </c>
      <c r="BD34" s="9">
        <f t="shared" si="1"/>
        <v>0</v>
      </c>
      <c r="BE34" s="9">
        <f t="shared" si="1"/>
        <v>13</v>
      </c>
      <c r="BF34" s="9">
        <f t="shared" si="1"/>
        <v>395</v>
      </c>
      <c r="BG34" s="9">
        <f t="shared" si="1"/>
        <v>0</v>
      </c>
      <c r="BH34" s="9">
        <f t="shared" si="1"/>
        <v>13</v>
      </c>
      <c r="BI34" s="9">
        <f t="shared" si="1"/>
        <v>11107</v>
      </c>
      <c r="BJ34" s="9">
        <f t="shared" si="1"/>
        <v>281</v>
      </c>
    </row>
    <row r="35" spans="1:62" x14ac:dyDescent="0.3">
      <c r="B35" s="7" t="s">
        <v>9</v>
      </c>
      <c r="K35" s="16">
        <f>K34/$BI$34</f>
        <v>0</v>
      </c>
      <c r="L35" s="16">
        <f t="shared" ref="L35:BH35" si="2">L34/$BI$34</f>
        <v>3.0341226253713875E-2</v>
      </c>
      <c r="M35" s="16">
        <f t="shared" si="2"/>
        <v>4.5016656162780227E-3</v>
      </c>
      <c r="N35" s="16">
        <f t="shared" si="2"/>
        <v>7.2026649860448362E-3</v>
      </c>
      <c r="O35" s="16">
        <f t="shared" si="2"/>
        <v>0.2960295309264428</v>
      </c>
      <c r="P35" s="16">
        <f t="shared" si="2"/>
        <v>0</v>
      </c>
      <c r="Q35" s="16">
        <f t="shared" si="2"/>
        <v>0</v>
      </c>
      <c r="R35" s="16">
        <f t="shared" si="2"/>
        <v>3.4302691996038533E-2</v>
      </c>
      <c r="S35" s="16">
        <f t="shared" si="2"/>
        <v>0</v>
      </c>
      <c r="T35" s="16">
        <f t="shared" si="2"/>
        <v>5.9421986134869905E-3</v>
      </c>
      <c r="U35" s="16">
        <f t="shared" si="2"/>
        <v>0</v>
      </c>
      <c r="V35" s="16">
        <f t="shared" si="2"/>
        <v>0</v>
      </c>
      <c r="W35" s="16">
        <f t="shared" si="2"/>
        <v>0</v>
      </c>
      <c r="X35" s="16">
        <f t="shared" si="2"/>
        <v>9.9036643558116501E-4</v>
      </c>
      <c r="Y35" s="16">
        <f t="shared" si="2"/>
        <v>0</v>
      </c>
      <c r="Z35" s="16">
        <f t="shared" si="2"/>
        <v>1.2604663725578464E-3</v>
      </c>
      <c r="AA35" s="16">
        <f t="shared" si="2"/>
        <v>0</v>
      </c>
      <c r="AB35" s="16">
        <f t="shared" si="2"/>
        <v>7.3827316106959574E-3</v>
      </c>
      <c r="AC35" s="16">
        <f t="shared" si="2"/>
        <v>0</v>
      </c>
      <c r="AD35" s="16">
        <f t="shared" si="2"/>
        <v>2.0707661834878906E-3</v>
      </c>
      <c r="AE35" s="16">
        <f t="shared" si="2"/>
        <v>0</v>
      </c>
      <c r="AF35" s="16">
        <f t="shared" si="2"/>
        <v>1.8906995588367696E-3</v>
      </c>
      <c r="AG35" s="16">
        <f t="shared" si="2"/>
        <v>0</v>
      </c>
      <c r="AH35" s="16">
        <f t="shared" si="2"/>
        <v>1.3504996848834069E-3</v>
      </c>
      <c r="AI35" s="16">
        <f t="shared" si="2"/>
        <v>2.2328261456738992E-2</v>
      </c>
      <c r="AJ35" s="16">
        <f t="shared" si="2"/>
        <v>0</v>
      </c>
      <c r="AK35" s="16">
        <f t="shared" si="2"/>
        <v>0</v>
      </c>
      <c r="AL35" s="16">
        <f t="shared" si="2"/>
        <v>4.5016656162780226E-4</v>
      </c>
      <c r="AM35" s="16">
        <f t="shared" si="2"/>
        <v>0</v>
      </c>
      <c r="AN35" s="16">
        <f t="shared" si="2"/>
        <v>0</v>
      </c>
      <c r="AO35" s="16">
        <f t="shared" si="2"/>
        <v>9.0033312325560458E-5</v>
      </c>
      <c r="AP35" s="16">
        <f t="shared" si="2"/>
        <v>4.2315656793013414E-3</v>
      </c>
      <c r="AQ35" s="16">
        <f t="shared" si="2"/>
        <v>0.53929954083010712</v>
      </c>
      <c r="AR35" s="16">
        <f t="shared" si="2"/>
        <v>0</v>
      </c>
      <c r="AS35" s="16">
        <f t="shared" si="2"/>
        <v>0</v>
      </c>
      <c r="AT35" s="16">
        <f t="shared" si="2"/>
        <v>1.7106329341856487E-3</v>
      </c>
      <c r="AU35" s="16">
        <f t="shared" si="2"/>
        <v>0</v>
      </c>
      <c r="AV35" s="16">
        <f t="shared" si="2"/>
        <v>0</v>
      </c>
      <c r="AW35" s="16">
        <f t="shared" si="2"/>
        <v>7.2026649860448366E-4</v>
      </c>
      <c r="AX35" s="16">
        <f t="shared" si="2"/>
        <v>0</v>
      </c>
      <c r="AY35" s="16">
        <f t="shared" si="2"/>
        <v>0</v>
      </c>
      <c r="AZ35" s="16">
        <f t="shared" si="2"/>
        <v>0</v>
      </c>
      <c r="BA35" s="16">
        <f t="shared" si="2"/>
        <v>0</v>
      </c>
      <c r="BB35" s="16">
        <f t="shared" si="2"/>
        <v>0</v>
      </c>
      <c r="BC35" s="16">
        <f t="shared" si="2"/>
        <v>0</v>
      </c>
      <c r="BD35" s="16">
        <f t="shared" si="2"/>
        <v>0</v>
      </c>
      <c r="BE35" s="16">
        <f t="shared" si="2"/>
        <v>1.170433060232286E-3</v>
      </c>
      <c r="BF35" s="16">
        <f t="shared" si="2"/>
        <v>3.556315836859638E-2</v>
      </c>
      <c r="BG35" s="16">
        <f t="shared" si="2"/>
        <v>0</v>
      </c>
      <c r="BH35" s="16">
        <f t="shared" si="2"/>
        <v>1.170433060232286E-3</v>
      </c>
      <c r="BI35" s="11">
        <f>SUM(K35:BH35)</f>
        <v>0.99999999999999978</v>
      </c>
    </row>
  </sheetData>
  <conditionalFormatting sqref="H2:I32">
    <cfRule type="expression" dxfId="29" priority="4">
      <formula>H2&lt;G2</formula>
    </cfRule>
  </conditionalFormatting>
  <conditionalFormatting sqref="H33:I33">
    <cfRule type="expression" dxfId="28" priority="1">
      <formula>H33&lt;G33</formula>
    </cfRule>
  </conditionalFormatting>
  <pageMargins left="0.7" right="0.7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36"/>
  <sheetViews>
    <sheetView topLeftCell="Q1" workbookViewId="0">
      <pane ySplit="2" topLeftCell="A35" activePane="bottomLeft" state="frozen"/>
      <selection pane="bottomLeft" activeCell="Y1" sqref="Y1:AH1048576"/>
    </sheetView>
  </sheetViews>
  <sheetFormatPr defaultColWidth="9.109375" defaultRowHeight="14.4" x14ac:dyDescent="0.3"/>
  <cols>
    <col min="1" max="1" width="9.109375" style="1"/>
    <col min="2" max="2" width="22.88671875" style="7" bestFit="1" customWidth="1"/>
    <col min="3" max="3" width="10.6640625" style="7" customWidth="1"/>
    <col min="4" max="4" width="11" style="7" customWidth="1"/>
    <col min="5" max="5" width="14.6640625" style="10" customWidth="1"/>
    <col min="6" max="6" width="15" style="1" customWidth="1"/>
    <col min="7" max="7" width="9.77734375" style="1" customWidth="1"/>
    <col min="8" max="8" width="9.88671875" style="1" customWidth="1"/>
    <col min="9" max="9" width="10.21875" style="1" bestFit="1" customWidth="1"/>
    <col min="10" max="10" width="13.77734375" style="1" customWidth="1"/>
    <col min="11" max="24" width="9.77734375" style="1" bestFit="1" customWidth="1"/>
    <col min="25" max="25" width="13.6640625" style="10" customWidth="1"/>
    <col min="26" max="26" width="13.6640625" style="1" customWidth="1"/>
    <col min="27" max="16384" width="9.109375" style="1"/>
  </cols>
  <sheetData>
    <row r="1" spans="1:26" s="18" customFormat="1" ht="30" customHeight="1" x14ac:dyDescent="0.3">
      <c r="A1" s="20" t="s">
        <v>14</v>
      </c>
      <c r="B1" s="20" t="s">
        <v>11</v>
      </c>
      <c r="C1" s="20" t="s">
        <v>0</v>
      </c>
      <c r="D1" s="20" t="s">
        <v>13</v>
      </c>
      <c r="E1" s="21" t="s">
        <v>1</v>
      </c>
      <c r="F1" s="20" t="s">
        <v>2</v>
      </c>
      <c r="G1" s="20" t="s">
        <v>3</v>
      </c>
      <c r="H1" s="20" t="s">
        <v>4</v>
      </c>
      <c r="I1" s="20" t="s">
        <v>5</v>
      </c>
      <c r="J1" s="20" t="s">
        <v>10</v>
      </c>
      <c r="K1" s="17" t="s">
        <v>97</v>
      </c>
      <c r="L1" s="17" t="s">
        <v>98</v>
      </c>
      <c r="M1" s="17" t="s">
        <v>110</v>
      </c>
      <c r="N1" s="17" t="s">
        <v>99</v>
      </c>
      <c r="O1" s="17" t="s">
        <v>100</v>
      </c>
      <c r="P1" s="17" t="s">
        <v>101</v>
      </c>
      <c r="Q1" s="17" t="s">
        <v>102</v>
      </c>
      <c r="R1" s="17" t="s">
        <v>103</v>
      </c>
      <c r="S1" s="17" t="s">
        <v>104</v>
      </c>
      <c r="T1" s="17" t="s">
        <v>105</v>
      </c>
      <c r="U1" s="17" t="s">
        <v>106</v>
      </c>
      <c r="V1" s="17" t="s">
        <v>107</v>
      </c>
      <c r="W1" s="17" t="s">
        <v>108</v>
      </c>
      <c r="X1" s="17" t="s">
        <v>109</v>
      </c>
      <c r="Y1" s="23" t="s">
        <v>8</v>
      </c>
      <c r="Z1" s="20" t="s">
        <v>6</v>
      </c>
    </row>
    <row r="2" spans="1:26" s="19" customFormat="1" ht="138" customHeight="1" x14ac:dyDescent="0.3">
      <c r="A2" s="20"/>
      <c r="B2" s="20"/>
      <c r="C2" s="20"/>
      <c r="D2" s="20"/>
      <c r="E2" s="22"/>
      <c r="F2" s="20"/>
      <c r="G2" s="20"/>
      <c r="H2" s="20"/>
      <c r="I2" s="20"/>
      <c r="J2" s="20"/>
      <c r="Y2" s="23"/>
      <c r="Z2" s="20"/>
    </row>
    <row r="3" spans="1:26" x14ac:dyDescent="0.3">
      <c r="A3" s="14" t="s">
        <v>15</v>
      </c>
      <c r="B3" s="15" t="s">
        <v>12</v>
      </c>
      <c r="C3" s="15" t="s">
        <v>16</v>
      </c>
      <c r="D3" s="3"/>
      <c r="E3" s="8">
        <v>1327</v>
      </c>
      <c r="F3" s="8">
        <v>3</v>
      </c>
      <c r="G3" s="4">
        <v>223</v>
      </c>
      <c r="H3" s="4">
        <v>610</v>
      </c>
      <c r="I3" s="4">
        <v>890</v>
      </c>
      <c r="J3" s="4">
        <v>1250</v>
      </c>
      <c r="K3" s="4">
        <v>22</v>
      </c>
      <c r="L3" s="4">
        <v>3</v>
      </c>
      <c r="M3" s="4">
        <v>242</v>
      </c>
      <c r="N3" s="4">
        <v>10</v>
      </c>
      <c r="O3" s="4">
        <v>10</v>
      </c>
      <c r="P3" s="4">
        <v>3</v>
      </c>
      <c r="Q3" s="4">
        <v>0</v>
      </c>
      <c r="R3" s="4">
        <v>7</v>
      </c>
      <c r="S3" s="4">
        <v>2</v>
      </c>
      <c r="T3" s="4">
        <v>12</v>
      </c>
      <c r="U3" s="4">
        <v>514</v>
      </c>
      <c r="V3" s="4">
        <v>2</v>
      </c>
      <c r="W3" s="4">
        <v>17</v>
      </c>
      <c r="X3" s="4">
        <v>3</v>
      </c>
      <c r="Y3" s="8">
        <f>SUM(K3:X3)</f>
        <v>847</v>
      </c>
      <c r="Z3" s="4">
        <v>43</v>
      </c>
    </row>
    <row r="4" spans="1:26" x14ac:dyDescent="0.3">
      <c r="A4" s="14" t="s">
        <v>15</v>
      </c>
      <c r="B4" s="15" t="s">
        <v>12</v>
      </c>
      <c r="C4" s="15" t="s">
        <v>17</v>
      </c>
      <c r="D4" s="3"/>
      <c r="E4" s="8">
        <v>863</v>
      </c>
      <c r="F4" s="8">
        <v>7</v>
      </c>
      <c r="G4" s="4">
        <v>160</v>
      </c>
      <c r="H4" s="4">
        <v>485</v>
      </c>
      <c r="I4" s="4">
        <v>592</v>
      </c>
      <c r="J4" s="4">
        <v>800</v>
      </c>
      <c r="K4" s="4">
        <v>26</v>
      </c>
      <c r="L4" s="4">
        <v>2</v>
      </c>
      <c r="M4" s="4">
        <v>197</v>
      </c>
      <c r="N4" s="4">
        <v>15</v>
      </c>
      <c r="O4" s="4">
        <v>3</v>
      </c>
      <c r="P4" s="4">
        <v>0</v>
      </c>
      <c r="Q4" s="4">
        <v>0</v>
      </c>
      <c r="R4" s="4">
        <v>9</v>
      </c>
      <c r="S4" s="4">
        <v>3</v>
      </c>
      <c r="T4" s="4">
        <v>19</v>
      </c>
      <c r="U4" s="4">
        <v>278</v>
      </c>
      <c r="V4" s="4">
        <v>2</v>
      </c>
      <c r="W4" s="4">
        <v>13</v>
      </c>
      <c r="X4" s="4">
        <v>2</v>
      </c>
      <c r="Y4" s="8">
        <f>SUM(K4:X4)</f>
        <v>569</v>
      </c>
      <c r="Z4" s="4">
        <v>18</v>
      </c>
    </row>
    <row r="5" spans="1:26" x14ac:dyDescent="0.3">
      <c r="A5" s="14" t="s">
        <v>15</v>
      </c>
      <c r="B5" s="15" t="s">
        <v>12</v>
      </c>
      <c r="C5" s="15" t="s">
        <v>18</v>
      </c>
      <c r="D5" s="3"/>
      <c r="E5" s="8">
        <v>300</v>
      </c>
      <c r="F5" s="8">
        <v>4</v>
      </c>
      <c r="G5" s="4">
        <v>63</v>
      </c>
      <c r="H5" s="4">
        <v>165</v>
      </c>
      <c r="I5" s="4">
        <v>224</v>
      </c>
      <c r="J5" s="4">
        <v>300</v>
      </c>
      <c r="K5" s="4">
        <v>6</v>
      </c>
      <c r="L5" s="4">
        <v>1</v>
      </c>
      <c r="M5" s="4">
        <v>47</v>
      </c>
      <c r="N5" s="4">
        <v>11</v>
      </c>
      <c r="O5" s="4">
        <v>2</v>
      </c>
      <c r="P5" s="4">
        <v>1</v>
      </c>
      <c r="Q5" s="4">
        <v>2</v>
      </c>
      <c r="R5" s="4">
        <v>2</v>
      </c>
      <c r="S5" s="4">
        <v>0</v>
      </c>
      <c r="T5" s="4">
        <v>1</v>
      </c>
      <c r="U5" s="4">
        <v>131</v>
      </c>
      <c r="V5" s="4">
        <v>1</v>
      </c>
      <c r="W5" s="4">
        <v>11</v>
      </c>
      <c r="X5" s="4">
        <v>0</v>
      </c>
      <c r="Y5" s="8">
        <f>SUM(K5:X5)</f>
        <v>216</v>
      </c>
      <c r="Z5" s="4">
        <v>8</v>
      </c>
    </row>
    <row r="6" spans="1:26" x14ac:dyDescent="0.3">
      <c r="A6" s="14" t="s">
        <v>15</v>
      </c>
      <c r="B6" s="15" t="s">
        <v>12</v>
      </c>
      <c r="C6" s="15" t="s">
        <v>19</v>
      </c>
      <c r="D6" s="3"/>
      <c r="E6" s="8">
        <v>501</v>
      </c>
      <c r="F6" s="8">
        <v>1</v>
      </c>
      <c r="G6" s="4">
        <v>96</v>
      </c>
      <c r="H6" s="4">
        <v>265</v>
      </c>
      <c r="I6" s="4">
        <v>349</v>
      </c>
      <c r="J6" s="4">
        <v>500</v>
      </c>
      <c r="K6" s="4">
        <v>11</v>
      </c>
      <c r="L6" s="4">
        <v>0</v>
      </c>
      <c r="M6" s="4">
        <v>86</v>
      </c>
      <c r="N6" s="4">
        <v>14</v>
      </c>
      <c r="O6" s="4">
        <v>1</v>
      </c>
      <c r="P6" s="4">
        <v>1</v>
      </c>
      <c r="Q6" s="4">
        <v>4</v>
      </c>
      <c r="R6" s="4">
        <v>9</v>
      </c>
      <c r="S6" s="4">
        <v>1</v>
      </c>
      <c r="T6" s="4">
        <v>6</v>
      </c>
      <c r="U6" s="4">
        <v>196</v>
      </c>
      <c r="V6" s="4">
        <v>0</v>
      </c>
      <c r="W6" s="4">
        <v>14</v>
      </c>
      <c r="X6" s="4">
        <v>0</v>
      </c>
      <c r="Y6" s="8">
        <f>SUM(K6:X6)</f>
        <v>343</v>
      </c>
      <c r="Z6" s="4">
        <v>5</v>
      </c>
    </row>
    <row r="7" spans="1:26" x14ac:dyDescent="0.3">
      <c r="A7" s="14" t="s">
        <v>15</v>
      </c>
      <c r="B7" s="15" t="s">
        <v>12</v>
      </c>
      <c r="C7" s="15" t="s">
        <v>20</v>
      </c>
      <c r="D7" s="3"/>
      <c r="E7" s="8">
        <v>274</v>
      </c>
      <c r="F7" s="8">
        <v>1</v>
      </c>
      <c r="G7" s="4">
        <v>45</v>
      </c>
      <c r="H7" s="4">
        <v>165</v>
      </c>
      <c r="I7" s="4">
        <v>203</v>
      </c>
      <c r="J7" s="4">
        <v>300</v>
      </c>
      <c r="K7" s="4">
        <v>8</v>
      </c>
      <c r="L7" s="4">
        <v>5</v>
      </c>
      <c r="M7" s="4">
        <v>63</v>
      </c>
      <c r="N7" s="4">
        <v>3</v>
      </c>
      <c r="O7" s="4">
        <v>0</v>
      </c>
      <c r="P7" s="4">
        <v>0</v>
      </c>
      <c r="Q7" s="4">
        <v>0</v>
      </c>
      <c r="R7" s="4">
        <v>1</v>
      </c>
      <c r="S7" s="4">
        <v>2</v>
      </c>
      <c r="T7" s="4">
        <v>3</v>
      </c>
      <c r="U7" s="4">
        <v>104</v>
      </c>
      <c r="V7" s="4">
        <v>0</v>
      </c>
      <c r="W7" s="4">
        <v>9</v>
      </c>
      <c r="X7" s="4">
        <v>0</v>
      </c>
      <c r="Y7" s="8">
        <f>SUM(K7:X7)</f>
        <v>198</v>
      </c>
      <c r="Z7" s="4">
        <v>5</v>
      </c>
    </row>
    <row r="8" spans="1:26" x14ac:dyDescent="0.3">
      <c r="A8" s="14" t="s">
        <v>15</v>
      </c>
      <c r="B8" s="15" t="s">
        <v>12</v>
      </c>
      <c r="C8" s="15" t="s">
        <v>21</v>
      </c>
      <c r="D8" s="3"/>
      <c r="E8" s="8">
        <v>421</v>
      </c>
      <c r="F8" s="8">
        <v>1</v>
      </c>
      <c r="G8" s="4">
        <v>81</v>
      </c>
      <c r="H8" s="4">
        <v>228</v>
      </c>
      <c r="I8" s="4">
        <v>299</v>
      </c>
      <c r="J8" s="4">
        <v>450</v>
      </c>
      <c r="K8" s="4">
        <v>16</v>
      </c>
      <c r="L8" s="4">
        <v>1</v>
      </c>
      <c r="M8" s="4">
        <v>115</v>
      </c>
      <c r="N8" s="4">
        <v>15</v>
      </c>
      <c r="O8" s="4">
        <v>0</v>
      </c>
      <c r="P8" s="4">
        <v>0</v>
      </c>
      <c r="Q8" s="4">
        <v>1</v>
      </c>
      <c r="R8" s="4">
        <v>1</v>
      </c>
      <c r="S8" s="4">
        <v>0</v>
      </c>
      <c r="T8" s="4">
        <v>3</v>
      </c>
      <c r="U8" s="4">
        <v>125</v>
      </c>
      <c r="V8" s="4">
        <v>2</v>
      </c>
      <c r="W8" s="4">
        <v>9</v>
      </c>
      <c r="X8" s="4">
        <v>0</v>
      </c>
      <c r="Y8" s="8">
        <f>SUM(K8:X8)</f>
        <v>288</v>
      </c>
      <c r="Z8" s="4">
        <v>11</v>
      </c>
    </row>
    <row r="9" spans="1:26" x14ac:dyDescent="0.3">
      <c r="A9" s="14" t="s">
        <v>15</v>
      </c>
      <c r="B9" s="15" t="s">
        <v>12</v>
      </c>
      <c r="C9" s="15" t="s">
        <v>22</v>
      </c>
      <c r="D9" s="3"/>
      <c r="E9" s="8">
        <v>320</v>
      </c>
      <c r="F9" s="8">
        <v>4</v>
      </c>
      <c r="G9" s="4">
        <v>73</v>
      </c>
      <c r="H9" s="4">
        <v>182</v>
      </c>
      <c r="I9" s="4">
        <v>234</v>
      </c>
      <c r="J9" s="4">
        <v>350</v>
      </c>
      <c r="K9" s="4">
        <v>32</v>
      </c>
      <c r="L9" s="4">
        <v>0</v>
      </c>
      <c r="M9" s="4">
        <v>64</v>
      </c>
      <c r="N9" s="4">
        <v>3</v>
      </c>
      <c r="O9" s="4">
        <v>7</v>
      </c>
      <c r="P9" s="4">
        <v>0</v>
      </c>
      <c r="Q9" s="4">
        <v>0</v>
      </c>
      <c r="R9" s="4">
        <v>2</v>
      </c>
      <c r="S9" s="4">
        <v>0</v>
      </c>
      <c r="T9" s="4">
        <v>4</v>
      </c>
      <c r="U9" s="4">
        <v>108</v>
      </c>
      <c r="V9" s="4">
        <v>2</v>
      </c>
      <c r="W9" s="4">
        <v>6</v>
      </c>
      <c r="X9" s="4">
        <v>1</v>
      </c>
      <c r="Y9" s="8">
        <f>SUM(K9:X9)</f>
        <v>229</v>
      </c>
      <c r="Z9" s="4">
        <v>5</v>
      </c>
    </row>
    <row r="10" spans="1:26" x14ac:dyDescent="0.3">
      <c r="A10" s="14" t="s">
        <v>15</v>
      </c>
      <c r="B10" s="15" t="s">
        <v>12</v>
      </c>
      <c r="C10" s="15" t="s">
        <v>23</v>
      </c>
      <c r="D10" s="3"/>
      <c r="E10" s="8">
        <v>325</v>
      </c>
      <c r="F10" s="8">
        <v>2</v>
      </c>
      <c r="G10" s="4">
        <v>65</v>
      </c>
      <c r="H10" s="4">
        <v>185</v>
      </c>
      <c r="I10" s="4">
        <v>256</v>
      </c>
      <c r="J10" s="4">
        <v>350</v>
      </c>
      <c r="K10" s="4">
        <v>4</v>
      </c>
      <c r="L10" s="4">
        <v>3</v>
      </c>
      <c r="M10" s="4">
        <v>78</v>
      </c>
      <c r="N10" s="4">
        <v>9</v>
      </c>
      <c r="O10" s="4">
        <v>0</v>
      </c>
      <c r="P10" s="4">
        <v>0</v>
      </c>
      <c r="Q10" s="4">
        <v>0</v>
      </c>
      <c r="R10" s="4">
        <v>1</v>
      </c>
      <c r="S10" s="4">
        <v>5</v>
      </c>
      <c r="T10" s="4">
        <v>1</v>
      </c>
      <c r="U10" s="4">
        <v>131</v>
      </c>
      <c r="V10" s="4">
        <v>1</v>
      </c>
      <c r="W10" s="4">
        <v>13</v>
      </c>
      <c r="X10" s="4">
        <v>1</v>
      </c>
      <c r="Y10" s="8">
        <f>SUM(K10:X10)</f>
        <v>247</v>
      </c>
      <c r="Z10" s="4">
        <v>9</v>
      </c>
    </row>
    <row r="11" spans="1:26" x14ac:dyDescent="0.3">
      <c r="A11" s="14" t="s">
        <v>15</v>
      </c>
      <c r="B11" s="15" t="s">
        <v>12</v>
      </c>
      <c r="C11" s="15" t="s">
        <v>24</v>
      </c>
      <c r="D11" s="3"/>
      <c r="E11" s="8">
        <v>303</v>
      </c>
      <c r="F11" s="8">
        <v>1</v>
      </c>
      <c r="G11" s="4">
        <v>45</v>
      </c>
      <c r="H11" s="4">
        <v>175</v>
      </c>
      <c r="I11" s="4">
        <v>222</v>
      </c>
      <c r="J11" s="4">
        <v>300</v>
      </c>
      <c r="K11" s="4">
        <v>12</v>
      </c>
      <c r="L11" s="4">
        <v>0</v>
      </c>
      <c r="M11" s="4">
        <v>89</v>
      </c>
      <c r="N11" s="4">
        <v>4</v>
      </c>
      <c r="O11" s="4">
        <v>1</v>
      </c>
      <c r="P11" s="4">
        <v>0</v>
      </c>
      <c r="Q11" s="4">
        <v>0</v>
      </c>
      <c r="R11" s="4">
        <v>0</v>
      </c>
      <c r="S11" s="4">
        <v>1</v>
      </c>
      <c r="T11" s="4">
        <v>4</v>
      </c>
      <c r="U11" s="4">
        <v>101</v>
      </c>
      <c r="V11" s="4">
        <v>0</v>
      </c>
      <c r="W11" s="4">
        <v>5</v>
      </c>
      <c r="X11" s="4">
        <v>0</v>
      </c>
      <c r="Y11" s="8">
        <f>SUM(K11:X11)</f>
        <v>217</v>
      </c>
      <c r="Z11" s="4">
        <v>5</v>
      </c>
    </row>
    <row r="12" spans="1:26" x14ac:dyDescent="0.3">
      <c r="A12" s="14" t="s">
        <v>15</v>
      </c>
      <c r="B12" s="15" t="s">
        <v>12</v>
      </c>
      <c r="C12" s="15" t="s">
        <v>25</v>
      </c>
      <c r="D12" s="3"/>
      <c r="E12" s="8">
        <v>574</v>
      </c>
      <c r="F12" s="8">
        <v>1</v>
      </c>
      <c r="G12" s="4">
        <v>110</v>
      </c>
      <c r="H12" s="4">
        <v>292</v>
      </c>
      <c r="I12" s="4">
        <v>393</v>
      </c>
      <c r="J12" s="4">
        <v>550</v>
      </c>
      <c r="K12" s="4">
        <v>10</v>
      </c>
      <c r="L12" s="4">
        <v>6</v>
      </c>
      <c r="M12" s="4">
        <v>99</v>
      </c>
      <c r="N12" s="4">
        <v>7</v>
      </c>
      <c r="O12" s="4">
        <v>1</v>
      </c>
      <c r="P12" s="4">
        <v>0</v>
      </c>
      <c r="Q12" s="4">
        <v>1</v>
      </c>
      <c r="R12" s="4">
        <v>11</v>
      </c>
      <c r="S12" s="4">
        <v>1</v>
      </c>
      <c r="T12" s="4">
        <v>4</v>
      </c>
      <c r="U12" s="4">
        <v>197</v>
      </c>
      <c r="V12" s="4">
        <v>1</v>
      </c>
      <c r="W12" s="4">
        <v>28</v>
      </c>
      <c r="X12" s="4">
        <v>0</v>
      </c>
      <c r="Y12" s="8">
        <f>SUM(K12:X12)</f>
        <v>366</v>
      </c>
      <c r="Z12" s="4">
        <v>27</v>
      </c>
    </row>
    <row r="13" spans="1:26" x14ac:dyDescent="0.3">
      <c r="A13" s="14" t="s">
        <v>15</v>
      </c>
      <c r="B13" s="15" t="s">
        <v>12</v>
      </c>
      <c r="C13" s="15" t="s">
        <v>26</v>
      </c>
      <c r="D13" s="3"/>
      <c r="E13" s="8">
        <v>363</v>
      </c>
      <c r="F13" s="8">
        <v>1</v>
      </c>
      <c r="G13" s="4">
        <v>81</v>
      </c>
      <c r="H13" s="4">
        <v>196</v>
      </c>
      <c r="I13" s="4">
        <v>274</v>
      </c>
      <c r="J13" s="4">
        <v>400</v>
      </c>
      <c r="K13" s="4">
        <v>0</v>
      </c>
      <c r="L13" s="4">
        <v>4</v>
      </c>
      <c r="M13" s="4">
        <v>77</v>
      </c>
      <c r="N13" s="4">
        <v>13</v>
      </c>
      <c r="O13" s="4">
        <v>3</v>
      </c>
      <c r="P13" s="4">
        <v>0</v>
      </c>
      <c r="Q13" s="4">
        <v>0</v>
      </c>
      <c r="R13" s="4">
        <v>1</v>
      </c>
      <c r="S13" s="4">
        <v>0</v>
      </c>
      <c r="T13" s="4">
        <v>3</v>
      </c>
      <c r="U13" s="4">
        <v>159</v>
      </c>
      <c r="V13" s="4">
        <v>1</v>
      </c>
      <c r="W13" s="4">
        <v>8</v>
      </c>
      <c r="X13" s="4">
        <v>0</v>
      </c>
      <c r="Y13" s="8">
        <f>SUM(K13:X13)</f>
        <v>269</v>
      </c>
      <c r="Z13" s="4">
        <v>5</v>
      </c>
    </row>
    <row r="14" spans="1:26" x14ac:dyDescent="0.3">
      <c r="A14" s="14" t="s">
        <v>15</v>
      </c>
      <c r="B14" s="15" t="s">
        <v>12</v>
      </c>
      <c r="C14" s="15" t="s">
        <v>27</v>
      </c>
      <c r="D14" s="3"/>
      <c r="E14" s="8">
        <v>419</v>
      </c>
      <c r="F14" s="8">
        <v>0</v>
      </c>
      <c r="G14" s="4">
        <v>87</v>
      </c>
      <c r="H14" s="4">
        <v>212</v>
      </c>
      <c r="I14" s="4">
        <v>317</v>
      </c>
      <c r="J14" s="4">
        <v>450</v>
      </c>
      <c r="K14" s="4">
        <v>5</v>
      </c>
      <c r="L14" s="4">
        <v>1</v>
      </c>
      <c r="M14" s="4">
        <v>99</v>
      </c>
      <c r="N14" s="4">
        <v>2</v>
      </c>
      <c r="O14" s="4">
        <v>1</v>
      </c>
      <c r="P14" s="4">
        <v>2</v>
      </c>
      <c r="Q14" s="4">
        <v>0</v>
      </c>
      <c r="R14" s="4">
        <v>0</v>
      </c>
      <c r="S14" s="4">
        <v>0</v>
      </c>
      <c r="T14" s="4">
        <v>2</v>
      </c>
      <c r="U14" s="4">
        <v>189</v>
      </c>
      <c r="V14" s="4">
        <v>1</v>
      </c>
      <c r="W14" s="4">
        <v>3</v>
      </c>
      <c r="X14" s="4">
        <v>1</v>
      </c>
      <c r="Y14" s="8">
        <f>SUM(K14:X14)</f>
        <v>306</v>
      </c>
      <c r="Z14" s="4">
        <v>11</v>
      </c>
    </row>
    <row r="15" spans="1:26" x14ac:dyDescent="0.3">
      <c r="A15" s="14" t="s">
        <v>15</v>
      </c>
      <c r="B15" s="15" t="s">
        <v>12</v>
      </c>
      <c r="C15" s="15" t="s">
        <v>28</v>
      </c>
      <c r="D15" s="3"/>
      <c r="E15" s="8">
        <v>455</v>
      </c>
      <c r="F15" s="8">
        <v>3</v>
      </c>
      <c r="G15" s="4">
        <v>75</v>
      </c>
      <c r="H15" s="4">
        <v>289</v>
      </c>
      <c r="I15" s="4">
        <v>355</v>
      </c>
      <c r="J15" s="4">
        <v>450</v>
      </c>
      <c r="K15" s="4">
        <v>12</v>
      </c>
      <c r="L15" s="4">
        <v>10</v>
      </c>
      <c r="M15" s="4">
        <v>61</v>
      </c>
      <c r="N15" s="4">
        <v>4</v>
      </c>
      <c r="O15" s="4">
        <v>1</v>
      </c>
      <c r="P15" s="4">
        <v>0</v>
      </c>
      <c r="Q15" s="4">
        <v>3</v>
      </c>
      <c r="R15" s="4">
        <v>2</v>
      </c>
      <c r="S15" s="4">
        <v>1</v>
      </c>
      <c r="T15" s="4">
        <v>6</v>
      </c>
      <c r="U15" s="4">
        <v>219</v>
      </c>
      <c r="V15" s="4">
        <v>0</v>
      </c>
      <c r="W15" s="4">
        <v>5</v>
      </c>
      <c r="X15" s="4">
        <v>0</v>
      </c>
      <c r="Y15" s="8">
        <f>SUM(K15:X15)</f>
        <v>324</v>
      </c>
      <c r="Z15" s="4">
        <v>31</v>
      </c>
    </row>
    <row r="16" spans="1:26" x14ac:dyDescent="0.3">
      <c r="A16" s="14" t="s">
        <v>15</v>
      </c>
      <c r="B16" s="15" t="s">
        <v>12</v>
      </c>
      <c r="C16" s="15" t="s">
        <v>29</v>
      </c>
      <c r="D16" s="3"/>
      <c r="E16" s="8">
        <v>681</v>
      </c>
      <c r="F16" s="8">
        <v>1</v>
      </c>
      <c r="G16" s="4">
        <v>140</v>
      </c>
      <c r="H16" s="4">
        <v>359</v>
      </c>
      <c r="I16" s="4">
        <v>484</v>
      </c>
      <c r="J16" s="4">
        <v>650</v>
      </c>
      <c r="K16" s="4">
        <v>15</v>
      </c>
      <c r="L16" s="4">
        <v>6</v>
      </c>
      <c r="M16" s="4">
        <v>148</v>
      </c>
      <c r="N16" s="4">
        <v>25</v>
      </c>
      <c r="O16" s="4">
        <v>2</v>
      </c>
      <c r="P16" s="4">
        <v>1</v>
      </c>
      <c r="Q16" s="4">
        <v>1</v>
      </c>
      <c r="R16" s="4">
        <v>8</v>
      </c>
      <c r="S16" s="4">
        <v>0</v>
      </c>
      <c r="T16" s="4">
        <v>5</v>
      </c>
      <c r="U16" s="4">
        <v>228</v>
      </c>
      <c r="V16" s="4">
        <v>1</v>
      </c>
      <c r="W16" s="4">
        <v>22</v>
      </c>
      <c r="X16" s="4">
        <v>1</v>
      </c>
      <c r="Y16" s="8">
        <f>SUM(K16:X16)</f>
        <v>463</v>
      </c>
      <c r="Z16" s="4">
        <v>21</v>
      </c>
    </row>
    <row r="17" spans="1:26" x14ac:dyDescent="0.3">
      <c r="A17" s="14" t="s">
        <v>15</v>
      </c>
      <c r="B17" s="15" t="s">
        <v>12</v>
      </c>
      <c r="C17" s="15" t="s">
        <v>30</v>
      </c>
      <c r="D17" s="3"/>
      <c r="E17" s="8">
        <v>591</v>
      </c>
      <c r="F17" s="8">
        <v>3</v>
      </c>
      <c r="G17" s="4">
        <v>101</v>
      </c>
      <c r="H17" s="4">
        <v>297</v>
      </c>
      <c r="I17" s="4">
        <v>378</v>
      </c>
      <c r="J17" s="4">
        <v>550</v>
      </c>
      <c r="K17" s="4">
        <v>8</v>
      </c>
      <c r="L17" s="4">
        <v>4</v>
      </c>
      <c r="M17" s="4">
        <v>98</v>
      </c>
      <c r="N17" s="4">
        <v>8</v>
      </c>
      <c r="O17" s="4">
        <v>2</v>
      </c>
      <c r="P17" s="4">
        <v>2</v>
      </c>
      <c r="Q17" s="4">
        <v>0</v>
      </c>
      <c r="R17" s="4">
        <v>2</v>
      </c>
      <c r="S17" s="4">
        <v>0</v>
      </c>
      <c r="T17" s="4">
        <v>3</v>
      </c>
      <c r="U17" s="4">
        <v>217</v>
      </c>
      <c r="V17" s="4">
        <v>0</v>
      </c>
      <c r="W17" s="4">
        <v>28</v>
      </c>
      <c r="X17" s="4">
        <v>0</v>
      </c>
      <c r="Y17" s="8">
        <f>SUM(K17:X17)</f>
        <v>372</v>
      </c>
      <c r="Z17" s="4">
        <v>6</v>
      </c>
    </row>
    <row r="18" spans="1:26" x14ac:dyDescent="0.3">
      <c r="A18" s="14" t="s">
        <v>15</v>
      </c>
      <c r="B18" s="15" t="s">
        <v>12</v>
      </c>
      <c r="C18" s="15" t="s">
        <v>31</v>
      </c>
      <c r="D18" s="3"/>
      <c r="E18" s="8">
        <v>757</v>
      </c>
      <c r="F18" s="8">
        <v>2</v>
      </c>
      <c r="G18" s="4">
        <v>115</v>
      </c>
      <c r="H18" s="4">
        <v>386</v>
      </c>
      <c r="I18" s="4">
        <v>517</v>
      </c>
      <c r="J18" s="4">
        <v>700</v>
      </c>
      <c r="K18" s="4">
        <v>16</v>
      </c>
      <c r="L18" s="4">
        <v>2</v>
      </c>
      <c r="M18" s="4">
        <v>131</v>
      </c>
      <c r="N18" s="4">
        <v>13</v>
      </c>
      <c r="O18" s="4">
        <v>2</v>
      </c>
      <c r="P18" s="4">
        <v>1</v>
      </c>
      <c r="Q18" s="4">
        <v>0</v>
      </c>
      <c r="R18" s="4">
        <v>57</v>
      </c>
      <c r="S18" s="4">
        <v>0</v>
      </c>
      <c r="T18" s="4">
        <v>14</v>
      </c>
      <c r="U18" s="4">
        <v>233</v>
      </c>
      <c r="V18" s="4">
        <v>1</v>
      </c>
      <c r="W18" s="4">
        <v>21</v>
      </c>
      <c r="X18" s="4">
        <v>0</v>
      </c>
      <c r="Y18" s="8">
        <f>SUM(K18:X18)</f>
        <v>491</v>
      </c>
      <c r="Z18" s="4">
        <v>25</v>
      </c>
    </row>
    <row r="19" spans="1:26" x14ac:dyDescent="0.3">
      <c r="A19" s="14" t="s">
        <v>15</v>
      </c>
      <c r="B19" s="15" t="s">
        <v>12</v>
      </c>
      <c r="C19" s="15" t="s">
        <v>32</v>
      </c>
      <c r="D19" s="3"/>
      <c r="E19" s="8">
        <v>557</v>
      </c>
      <c r="F19" s="8">
        <v>3</v>
      </c>
      <c r="G19" s="4">
        <v>139</v>
      </c>
      <c r="H19" s="4">
        <v>340</v>
      </c>
      <c r="I19" s="4">
        <v>384</v>
      </c>
      <c r="J19" s="4">
        <v>500</v>
      </c>
      <c r="K19" s="4">
        <v>7</v>
      </c>
      <c r="L19" s="4">
        <v>2</v>
      </c>
      <c r="M19" s="4">
        <v>81</v>
      </c>
      <c r="N19" s="4">
        <v>22</v>
      </c>
      <c r="O19" s="4">
        <v>3</v>
      </c>
      <c r="P19" s="4">
        <v>1</v>
      </c>
      <c r="Q19" s="4">
        <v>0</v>
      </c>
      <c r="R19" s="4">
        <v>14</v>
      </c>
      <c r="S19" s="4">
        <v>0</v>
      </c>
      <c r="T19" s="4">
        <v>11</v>
      </c>
      <c r="U19" s="4">
        <v>185</v>
      </c>
      <c r="V19" s="4">
        <v>4</v>
      </c>
      <c r="W19" s="4">
        <v>29</v>
      </c>
      <c r="X19" s="4">
        <v>0</v>
      </c>
      <c r="Y19" s="8">
        <f>SUM(K19:X19)</f>
        <v>359</v>
      </c>
      <c r="Z19" s="4">
        <v>25</v>
      </c>
    </row>
    <row r="20" spans="1:26" x14ac:dyDescent="0.3">
      <c r="A20" s="14" t="s">
        <v>15</v>
      </c>
      <c r="B20" s="15" t="s">
        <v>12</v>
      </c>
      <c r="C20" s="15" t="s">
        <v>33</v>
      </c>
      <c r="D20" s="3"/>
      <c r="E20" s="8">
        <v>861</v>
      </c>
      <c r="F20" s="8">
        <v>2</v>
      </c>
      <c r="G20" s="4">
        <v>161</v>
      </c>
      <c r="H20" s="4">
        <v>464</v>
      </c>
      <c r="I20" s="4">
        <v>655</v>
      </c>
      <c r="J20" s="4">
        <v>800</v>
      </c>
      <c r="K20" s="4">
        <v>32</v>
      </c>
      <c r="L20" s="4">
        <v>0</v>
      </c>
      <c r="M20" s="4">
        <v>180</v>
      </c>
      <c r="N20" s="4">
        <v>17</v>
      </c>
      <c r="O20" s="4">
        <v>0</v>
      </c>
      <c r="P20" s="4">
        <v>0</v>
      </c>
      <c r="Q20" s="4">
        <v>0</v>
      </c>
      <c r="R20" s="4">
        <v>2</v>
      </c>
      <c r="S20" s="4">
        <v>0</v>
      </c>
      <c r="T20" s="4">
        <v>1</v>
      </c>
      <c r="U20" s="4">
        <v>407</v>
      </c>
      <c r="V20" s="4">
        <v>0</v>
      </c>
      <c r="W20" s="4">
        <v>16</v>
      </c>
      <c r="X20" s="4">
        <v>0</v>
      </c>
      <c r="Y20" s="8">
        <f>SUM(K20:X20)</f>
        <v>655</v>
      </c>
      <c r="Z20" s="4">
        <v>0</v>
      </c>
    </row>
    <row r="21" spans="1:26" x14ac:dyDescent="0.3">
      <c r="A21" s="14" t="s">
        <v>15</v>
      </c>
      <c r="B21" s="15" t="s">
        <v>12</v>
      </c>
      <c r="C21" s="15" t="s">
        <v>34</v>
      </c>
      <c r="D21" s="3"/>
      <c r="E21" s="8">
        <v>185</v>
      </c>
      <c r="F21" s="8">
        <v>3</v>
      </c>
      <c r="G21" s="4">
        <v>18</v>
      </c>
      <c r="H21" s="4">
        <v>93</v>
      </c>
      <c r="I21" s="4">
        <v>139</v>
      </c>
      <c r="J21" s="4">
        <v>200</v>
      </c>
      <c r="K21" s="4">
        <v>5</v>
      </c>
      <c r="L21" s="4">
        <v>0</v>
      </c>
      <c r="M21" s="4">
        <v>32</v>
      </c>
      <c r="N21" s="4">
        <v>2</v>
      </c>
      <c r="O21" s="4">
        <v>1</v>
      </c>
      <c r="P21" s="4">
        <v>0</v>
      </c>
      <c r="Q21" s="4">
        <v>0</v>
      </c>
      <c r="R21" s="4">
        <v>0</v>
      </c>
      <c r="S21" s="4">
        <v>0</v>
      </c>
      <c r="T21" s="4">
        <v>2</v>
      </c>
      <c r="U21" s="4">
        <v>87</v>
      </c>
      <c r="V21" s="4">
        <v>1</v>
      </c>
      <c r="W21" s="4">
        <v>6</v>
      </c>
      <c r="X21" s="4">
        <v>0</v>
      </c>
      <c r="Y21" s="8">
        <f>SUM(K21:X21)</f>
        <v>136</v>
      </c>
      <c r="Z21" s="4">
        <v>1</v>
      </c>
    </row>
    <row r="22" spans="1:26" x14ac:dyDescent="0.3">
      <c r="A22" s="14" t="s">
        <v>15</v>
      </c>
      <c r="B22" s="15" t="s">
        <v>12</v>
      </c>
      <c r="C22" s="15" t="s">
        <v>35</v>
      </c>
      <c r="D22" s="3"/>
      <c r="E22" s="8">
        <v>484</v>
      </c>
      <c r="F22" s="8">
        <v>18</v>
      </c>
      <c r="G22" s="4">
        <v>120</v>
      </c>
      <c r="H22" s="4">
        <v>280</v>
      </c>
      <c r="I22" s="4">
        <v>365</v>
      </c>
      <c r="J22" s="4">
        <v>500</v>
      </c>
      <c r="K22" s="4">
        <v>19</v>
      </c>
      <c r="L22" s="4">
        <v>3</v>
      </c>
      <c r="M22" s="4">
        <v>138</v>
      </c>
      <c r="N22" s="4">
        <v>19</v>
      </c>
      <c r="O22" s="4">
        <v>3</v>
      </c>
      <c r="P22" s="4">
        <v>0</v>
      </c>
      <c r="Q22" s="4">
        <v>2</v>
      </c>
      <c r="R22" s="4">
        <v>0</v>
      </c>
      <c r="S22" s="4">
        <v>0</v>
      </c>
      <c r="T22" s="4">
        <v>5</v>
      </c>
      <c r="U22" s="4">
        <v>161</v>
      </c>
      <c r="V22" s="4">
        <v>1</v>
      </c>
      <c r="W22" s="4">
        <v>5</v>
      </c>
      <c r="X22" s="4">
        <v>1</v>
      </c>
      <c r="Y22" s="8">
        <f>SUM(K22:X22)</f>
        <v>357</v>
      </c>
      <c r="Z22" s="4">
        <v>8</v>
      </c>
    </row>
    <row r="23" spans="1:26" x14ac:dyDescent="0.3">
      <c r="A23" s="14" t="s">
        <v>15</v>
      </c>
      <c r="B23" s="15" t="s">
        <v>12</v>
      </c>
      <c r="C23" s="15" t="s">
        <v>36</v>
      </c>
      <c r="D23" s="3"/>
      <c r="E23" s="8">
        <v>268</v>
      </c>
      <c r="F23" s="8">
        <v>1</v>
      </c>
      <c r="G23" s="4">
        <v>60</v>
      </c>
      <c r="H23" s="4">
        <v>173</v>
      </c>
      <c r="I23" s="4">
        <v>237</v>
      </c>
      <c r="J23" s="4">
        <v>300</v>
      </c>
      <c r="K23" s="4">
        <v>10</v>
      </c>
      <c r="L23" s="4">
        <v>0</v>
      </c>
      <c r="M23" s="4">
        <v>60</v>
      </c>
      <c r="N23" s="4">
        <v>18</v>
      </c>
      <c r="O23" s="4">
        <v>0</v>
      </c>
      <c r="P23" s="4">
        <v>0</v>
      </c>
      <c r="Q23" s="4">
        <v>0</v>
      </c>
      <c r="R23" s="4">
        <v>0</v>
      </c>
      <c r="S23" s="4">
        <v>1</v>
      </c>
      <c r="T23" s="4">
        <v>1</v>
      </c>
      <c r="U23" s="4">
        <v>137</v>
      </c>
      <c r="V23" s="4">
        <v>0</v>
      </c>
      <c r="W23" s="4">
        <v>7</v>
      </c>
      <c r="X23" s="4">
        <v>0</v>
      </c>
      <c r="Y23" s="8">
        <f>SUM(K23:X23)</f>
        <v>234</v>
      </c>
      <c r="Z23" s="4">
        <v>3</v>
      </c>
    </row>
    <row r="24" spans="1:26" x14ac:dyDescent="0.3">
      <c r="A24" s="14" t="s">
        <v>15</v>
      </c>
      <c r="B24" s="15" t="s">
        <v>12</v>
      </c>
      <c r="C24" s="15" t="s">
        <v>37</v>
      </c>
      <c r="D24" s="3"/>
      <c r="E24" s="8">
        <v>489</v>
      </c>
      <c r="F24" s="8">
        <v>3</v>
      </c>
      <c r="G24" s="4">
        <v>97</v>
      </c>
      <c r="H24" s="4">
        <v>311</v>
      </c>
      <c r="I24" s="4">
        <v>363</v>
      </c>
      <c r="J24" s="4">
        <v>500</v>
      </c>
      <c r="K24" s="4">
        <v>7</v>
      </c>
      <c r="L24" s="4">
        <v>1</v>
      </c>
      <c r="M24" s="4">
        <v>66</v>
      </c>
      <c r="N24" s="4">
        <v>16</v>
      </c>
      <c r="O24" s="4">
        <v>4</v>
      </c>
      <c r="P24" s="4">
        <v>0</v>
      </c>
      <c r="Q24" s="4">
        <v>0</v>
      </c>
      <c r="R24" s="4">
        <v>3</v>
      </c>
      <c r="S24" s="4">
        <v>1</v>
      </c>
      <c r="T24" s="4">
        <v>2</v>
      </c>
      <c r="U24" s="4">
        <v>211</v>
      </c>
      <c r="V24" s="4">
        <v>2</v>
      </c>
      <c r="W24" s="4">
        <v>28</v>
      </c>
      <c r="X24" s="4">
        <v>1</v>
      </c>
      <c r="Y24" s="8">
        <f>SUM(K24:X24)</f>
        <v>342</v>
      </c>
      <c r="Z24" s="4">
        <v>19</v>
      </c>
    </row>
    <row r="25" spans="1:26" x14ac:dyDescent="0.3">
      <c r="A25" s="14" t="s">
        <v>15</v>
      </c>
      <c r="B25" s="15" t="s">
        <v>12</v>
      </c>
      <c r="C25" s="15" t="s">
        <v>38</v>
      </c>
      <c r="D25" s="3"/>
      <c r="E25" s="8">
        <v>444</v>
      </c>
      <c r="F25" s="8">
        <v>3</v>
      </c>
      <c r="G25" s="4">
        <v>112</v>
      </c>
      <c r="H25" s="4">
        <v>302</v>
      </c>
      <c r="I25" s="4">
        <v>341</v>
      </c>
      <c r="J25" s="4">
        <v>450</v>
      </c>
      <c r="K25" s="4">
        <v>5</v>
      </c>
      <c r="L25" s="4">
        <v>1</v>
      </c>
      <c r="M25" s="4">
        <v>118</v>
      </c>
      <c r="N25" s="4">
        <v>6</v>
      </c>
      <c r="O25" s="4">
        <v>1</v>
      </c>
      <c r="P25" s="4">
        <v>3</v>
      </c>
      <c r="Q25" s="4">
        <v>1</v>
      </c>
      <c r="R25" s="4">
        <v>0</v>
      </c>
      <c r="S25" s="4">
        <v>0</v>
      </c>
      <c r="T25" s="4">
        <v>4</v>
      </c>
      <c r="U25" s="4">
        <v>174</v>
      </c>
      <c r="V25" s="4">
        <v>1</v>
      </c>
      <c r="W25" s="4">
        <v>6</v>
      </c>
      <c r="X25" s="4">
        <v>1</v>
      </c>
      <c r="Y25" s="8">
        <f>SUM(K25:X25)</f>
        <v>321</v>
      </c>
      <c r="Z25" s="4">
        <v>18</v>
      </c>
    </row>
    <row r="26" spans="1:26" x14ac:dyDescent="0.3">
      <c r="A26" s="14" t="s">
        <v>15</v>
      </c>
      <c r="B26" s="15" t="s">
        <v>12</v>
      </c>
      <c r="C26" s="15" t="s">
        <v>39</v>
      </c>
      <c r="D26" s="3"/>
      <c r="E26" s="8">
        <v>218</v>
      </c>
      <c r="F26" s="8">
        <v>1</v>
      </c>
      <c r="G26" s="4">
        <v>53</v>
      </c>
      <c r="H26" s="4">
        <v>133</v>
      </c>
      <c r="I26" s="4">
        <v>159</v>
      </c>
      <c r="J26" s="4">
        <v>250</v>
      </c>
      <c r="K26" s="4">
        <v>2</v>
      </c>
      <c r="L26" s="4">
        <v>1</v>
      </c>
      <c r="M26" s="4">
        <v>38</v>
      </c>
      <c r="N26" s="4">
        <v>3</v>
      </c>
      <c r="O26" s="4">
        <v>0</v>
      </c>
      <c r="P26" s="4">
        <v>0</v>
      </c>
      <c r="Q26" s="4">
        <v>0</v>
      </c>
      <c r="R26" s="4">
        <v>1</v>
      </c>
      <c r="S26" s="4">
        <v>0</v>
      </c>
      <c r="T26" s="4">
        <v>3</v>
      </c>
      <c r="U26" s="4">
        <v>102</v>
      </c>
      <c r="V26" s="4">
        <v>0</v>
      </c>
      <c r="W26" s="4">
        <v>4</v>
      </c>
      <c r="X26" s="4">
        <v>0</v>
      </c>
      <c r="Y26" s="8">
        <f>SUM(K26:X26)</f>
        <v>154</v>
      </c>
      <c r="Z26" s="4">
        <v>5</v>
      </c>
    </row>
    <row r="27" spans="1:26" x14ac:dyDescent="0.3">
      <c r="A27" s="14" t="s">
        <v>15</v>
      </c>
      <c r="B27" s="15" t="s">
        <v>12</v>
      </c>
      <c r="C27" s="15" t="s">
        <v>40</v>
      </c>
      <c r="D27" s="3"/>
      <c r="E27" s="8">
        <v>532</v>
      </c>
      <c r="F27" s="8">
        <v>3</v>
      </c>
      <c r="G27" s="4">
        <v>104</v>
      </c>
      <c r="H27" s="4">
        <v>318</v>
      </c>
      <c r="I27" s="4">
        <v>403</v>
      </c>
      <c r="J27" s="4">
        <v>500</v>
      </c>
      <c r="K27" s="4">
        <v>7</v>
      </c>
      <c r="L27" s="4">
        <v>1</v>
      </c>
      <c r="M27" s="4">
        <v>145</v>
      </c>
      <c r="N27" s="4">
        <v>21</v>
      </c>
      <c r="O27" s="4">
        <v>5</v>
      </c>
      <c r="P27" s="4">
        <v>1</v>
      </c>
      <c r="Q27" s="4">
        <v>0</v>
      </c>
      <c r="R27" s="4">
        <v>3</v>
      </c>
      <c r="S27" s="4">
        <v>1</v>
      </c>
      <c r="T27" s="4">
        <v>8</v>
      </c>
      <c r="U27" s="4">
        <v>188</v>
      </c>
      <c r="V27" s="4">
        <v>1</v>
      </c>
      <c r="W27" s="4">
        <v>4</v>
      </c>
      <c r="X27" s="4">
        <v>2</v>
      </c>
      <c r="Y27" s="8">
        <f>SUM(K27:X27)</f>
        <v>387</v>
      </c>
      <c r="Z27" s="4">
        <v>16</v>
      </c>
    </row>
    <row r="28" spans="1:26" x14ac:dyDescent="0.3">
      <c r="A28" s="14" t="s">
        <v>15</v>
      </c>
      <c r="B28" s="15" t="s">
        <v>12</v>
      </c>
      <c r="C28" s="15" t="s">
        <v>41</v>
      </c>
      <c r="D28" s="3"/>
      <c r="E28" s="8">
        <v>515</v>
      </c>
      <c r="F28" s="8">
        <v>3</v>
      </c>
      <c r="G28" s="4">
        <v>111</v>
      </c>
      <c r="H28" s="4">
        <v>269</v>
      </c>
      <c r="I28" s="4">
        <v>348</v>
      </c>
      <c r="J28" s="4">
        <v>500</v>
      </c>
      <c r="K28" s="4">
        <v>13</v>
      </c>
      <c r="L28" s="4">
        <v>0</v>
      </c>
      <c r="M28" s="4">
        <v>92</v>
      </c>
      <c r="N28" s="4">
        <v>12</v>
      </c>
      <c r="O28" s="4">
        <v>0</v>
      </c>
      <c r="P28" s="4">
        <v>0</v>
      </c>
      <c r="Q28" s="4">
        <v>0</v>
      </c>
      <c r="R28" s="4">
        <v>5</v>
      </c>
      <c r="S28" s="4">
        <v>0</v>
      </c>
      <c r="T28" s="4">
        <v>24</v>
      </c>
      <c r="U28" s="4">
        <v>182</v>
      </c>
      <c r="V28" s="4">
        <v>0</v>
      </c>
      <c r="W28" s="4">
        <v>17</v>
      </c>
      <c r="X28" s="4">
        <v>0</v>
      </c>
      <c r="Y28" s="8">
        <f>SUM(K28:X28)</f>
        <v>345</v>
      </c>
      <c r="Z28" s="4">
        <v>2</v>
      </c>
    </row>
    <row r="29" spans="1:26" x14ac:dyDescent="0.3">
      <c r="A29" s="14" t="s">
        <v>15</v>
      </c>
      <c r="B29" s="15" t="s">
        <v>12</v>
      </c>
      <c r="C29" s="15" t="s">
        <v>42</v>
      </c>
      <c r="D29" s="3"/>
      <c r="E29" s="8">
        <v>536</v>
      </c>
      <c r="F29" s="8">
        <v>3</v>
      </c>
      <c r="G29" s="4">
        <v>83</v>
      </c>
      <c r="H29" s="4">
        <v>302</v>
      </c>
      <c r="I29" s="4">
        <v>364</v>
      </c>
      <c r="J29" s="4">
        <v>500</v>
      </c>
      <c r="K29" s="4">
        <v>14</v>
      </c>
      <c r="L29" s="4">
        <v>2</v>
      </c>
      <c r="M29" s="4">
        <v>112</v>
      </c>
      <c r="N29" s="4">
        <v>19</v>
      </c>
      <c r="O29" s="4">
        <v>6</v>
      </c>
      <c r="P29" s="4">
        <v>1</v>
      </c>
      <c r="Q29" s="4">
        <v>1</v>
      </c>
      <c r="R29" s="4">
        <v>3</v>
      </c>
      <c r="S29" s="4">
        <v>2</v>
      </c>
      <c r="T29" s="4">
        <v>20</v>
      </c>
      <c r="U29" s="4">
        <v>169</v>
      </c>
      <c r="V29" s="4">
        <v>1</v>
      </c>
      <c r="W29" s="4">
        <v>5</v>
      </c>
      <c r="X29" s="4">
        <v>0</v>
      </c>
      <c r="Y29" s="8">
        <f>SUM(K29:X29)</f>
        <v>355</v>
      </c>
      <c r="Z29" s="4">
        <v>8</v>
      </c>
    </row>
    <row r="30" spans="1:26" x14ac:dyDescent="0.3">
      <c r="A30" s="14" t="s">
        <v>15</v>
      </c>
      <c r="B30" s="15" t="s">
        <v>12</v>
      </c>
      <c r="C30" s="15" t="s">
        <v>43</v>
      </c>
      <c r="D30" s="3"/>
      <c r="E30" s="8">
        <v>405</v>
      </c>
      <c r="F30" s="8">
        <v>2</v>
      </c>
      <c r="G30" s="4">
        <v>64</v>
      </c>
      <c r="H30" s="4">
        <v>233</v>
      </c>
      <c r="I30" s="4">
        <v>385</v>
      </c>
      <c r="J30" s="4">
        <v>400</v>
      </c>
      <c r="K30" s="4">
        <v>13</v>
      </c>
      <c r="L30" s="4">
        <v>5</v>
      </c>
      <c r="M30" s="4">
        <v>109</v>
      </c>
      <c r="N30" s="4">
        <v>12</v>
      </c>
      <c r="O30" s="4">
        <v>1</v>
      </c>
      <c r="P30" s="4">
        <v>0</v>
      </c>
      <c r="Q30" s="4">
        <v>0</v>
      </c>
      <c r="R30" s="4">
        <v>7</v>
      </c>
      <c r="S30" s="4">
        <v>1</v>
      </c>
      <c r="T30" s="4">
        <v>7</v>
      </c>
      <c r="U30" s="4">
        <v>221</v>
      </c>
      <c r="V30" s="4">
        <v>1</v>
      </c>
      <c r="W30" s="4">
        <v>6</v>
      </c>
      <c r="X30" s="4">
        <v>0</v>
      </c>
      <c r="Y30" s="8">
        <f>SUM(K30:X30)</f>
        <v>383</v>
      </c>
      <c r="Z30" s="4"/>
    </row>
    <row r="31" spans="1:26" x14ac:dyDescent="0.3">
      <c r="A31" s="14" t="s">
        <v>15</v>
      </c>
      <c r="B31" s="15" t="s">
        <v>12</v>
      </c>
      <c r="C31" s="15" t="s">
        <v>44</v>
      </c>
      <c r="D31" s="3"/>
      <c r="E31" s="8">
        <v>902</v>
      </c>
      <c r="F31" s="8"/>
      <c r="G31" s="4">
        <v>154</v>
      </c>
      <c r="H31" s="4">
        <v>420</v>
      </c>
      <c r="I31" s="4">
        <v>647</v>
      </c>
      <c r="J31" s="4">
        <v>850</v>
      </c>
      <c r="K31" s="4">
        <v>32</v>
      </c>
      <c r="L31" s="4">
        <v>11</v>
      </c>
      <c r="M31" s="4">
        <v>216</v>
      </c>
      <c r="N31" s="4">
        <v>25</v>
      </c>
      <c r="O31" s="4">
        <v>2</v>
      </c>
      <c r="P31" s="4">
        <v>3</v>
      </c>
      <c r="Q31" s="4">
        <v>3</v>
      </c>
      <c r="R31" s="4">
        <v>15</v>
      </c>
      <c r="S31" s="4">
        <v>0</v>
      </c>
      <c r="T31" s="4">
        <v>9</v>
      </c>
      <c r="U31" s="4">
        <v>298</v>
      </c>
      <c r="V31" s="4">
        <v>0</v>
      </c>
      <c r="W31" s="4">
        <v>11</v>
      </c>
      <c r="X31" s="4">
        <v>0</v>
      </c>
      <c r="Y31" s="8">
        <f>SUM(K31:X31)</f>
        <v>625</v>
      </c>
      <c r="Z31" s="4">
        <v>22</v>
      </c>
    </row>
    <row r="32" spans="1:26" x14ac:dyDescent="0.3">
      <c r="A32" s="14" t="s">
        <v>15</v>
      </c>
      <c r="B32" s="15" t="s">
        <v>12</v>
      </c>
      <c r="C32" s="15" t="s">
        <v>45</v>
      </c>
      <c r="D32" s="3"/>
      <c r="E32" s="8">
        <v>326</v>
      </c>
      <c r="F32" s="8">
        <v>4</v>
      </c>
      <c r="G32" s="4">
        <v>53</v>
      </c>
      <c r="H32" s="4">
        <v>205</v>
      </c>
      <c r="I32" s="4">
        <v>261</v>
      </c>
      <c r="J32" s="4">
        <v>350</v>
      </c>
      <c r="K32" s="4">
        <v>6</v>
      </c>
      <c r="L32" s="4">
        <v>1</v>
      </c>
      <c r="M32" s="4">
        <v>80</v>
      </c>
      <c r="N32" s="4">
        <v>9</v>
      </c>
      <c r="O32" s="4">
        <v>1</v>
      </c>
      <c r="P32" s="4"/>
      <c r="Q32" s="4"/>
      <c r="R32" s="4"/>
      <c r="S32" s="4"/>
      <c r="T32" s="4"/>
      <c r="U32" s="4">
        <v>146</v>
      </c>
      <c r="V32" s="4">
        <v>1</v>
      </c>
      <c r="W32" s="4">
        <v>2</v>
      </c>
      <c r="X32" s="4"/>
      <c r="Y32" s="8">
        <f>SUM(K32:X32)</f>
        <v>246</v>
      </c>
      <c r="Z32" s="4">
        <v>13</v>
      </c>
    </row>
    <row r="33" spans="1:26" x14ac:dyDescent="0.3">
      <c r="A33" s="14" t="s">
        <v>15</v>
      </c>
      <c r="B33" s="15" t="s">
        <v>12</v>
      </c>
      <c r="C33" s="15" t="s">
        <v>46</v>
      </c>
      <c r="D33" s="3"/>
      <c r="E33" s="8">
        <v>526</v>
      </c>
      <c r="F33" s="8">
        <v>4</v>
      </c>
      <c r="G33" s="4">
        <v>80</v>
      </c>
      <c r="H33" s="4">
        <v>263</v>
      </c>
      <c r="I33" s="4">
        <v>324</v>
      </c>
      <c r="J33" s="4">
        <v>500</v>
      </c>
      <c r="K33" s="4">
        <v>7</v>
      </c>
      <c r="L33" s="4">
        <v>0</v>
      </c>
      <c r="M33" s="4">
        <v>99</v>
      </c>
      <c r="N33" s="4">
        <v>12</v>
      </c>
      <c r="O33" s="4">
        <v>4</v>
      </c>
      <c r="P33" s="4">
        <v>0</v>
      </c>
      <c r="Q33" s="4">
        <v>7</v>
      </c>
      <c r="R33" s="4">
        <v>0</v>
      </c>
      <c r="S33" s="4">
        <v>0</v>
      </c>
      <c r="T33" s="4">
        <v>12</v>
      </c>
      <c r="U33" s="4">
        <v>152</v>
      </c>
      <c r="V33" s="4">
        <v>1</v>
      </c>
      <c r="W33" s="4">
        <v>13</v>
      </c>
      <c r="X33" s="4">
        <v>0</v>
      </c>
      <c r="Y33" s="8">
        <f>SUM(K33:X33)</f>
        <v>307</v>
      </c>
      <c r="Z33" s="4">
        <v>17</v>
      </c>
    </row>
    <row r="34" spans="1:26" x14ac:dyDescent="0.3">
      <c r="A34" s="14" t="s">
        <v>15</v>
      </c>
      <c r="B34" s="15" t="s">
        <v>12</v>
      </c>
      <c r="C34" s="15" t="s">
        <v>96</v>
      </c>
      <c r="D34" s="3"/>
      <c r="E34" s="8"/>
      <c r="F34" s="8"/>
      <c r="G34" s="4">
        <v>13</v>
      </c>
      <c r="H34" s="4">
        <v>35</v>
      </c>
      <c r="I34" s="4">
        <v>35</v>
      </c>
      <c r="J34" s="4">
        <v>50</v>
      </c>
      <c r="K34" s="4">
        <v>1</v>
      </c>
      <c r="L34" s="4">
        <v>0</v>
      </c>
      <c r="M34" s="4">
        <v>6</v>
      </c>
      <c r="N34" s="4">
        <v>1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27</v>
      </c>
      <c r="V34" s="4">
        <v>0</v>
      </c>
      <c r="W34" s="4">
        <v>0</v>
      </c>
      <c r="X34" s="4"/>
      <c r="Y34" s="8">
        <f>SUM(K34:X34)</f>
        <v>35</v>
      </c>
      <c r="Z34" s="4"/>
    </row>
    <row r="35" spans="1:26" s="2" customFormat="1" x14ac:dyDescent="0.3">
      <c r="B35" s="5" t="s">
        <v>7</v>
      </c>
      <c r="C35" s="5">
        <f>COUNTA(C3:C34)</f>
        <v>32</v>
      </c>
      <c r="D35" s="5"/>
      <c r="E35" s="9">
        <f t="shared" ref="E35:I35" si="0">SUM(E3:E34)</f>
        <v>15722</v>
      </c>
      <c r="F35" s="6">
        <f t="shared" si="0"/>
        <v>88</v>
      </c>
      <c r="G35" s="6">
        <f t="shared" si="0"/>
        <v>2982</v>
      </c>
      <c r="H35" s="6">
        <f t="shared" si="0"/>
        <v>8632</v>
      </c>
      <c r="I35" s="6">
        <f t="shared" si="0"/>
        <v>11397</v>
      </c>
      <c r="J35" s="6"/>
      <c r="K35" s="6">
        <f t="shared" ref="K35:Z35" si="1">SUM(K3:K34)</f>
        <v>383</v>
      </c>
      <c r="L35" s="6">
        <f t="shared" si="1"/>
        <v>76</v>
      </c>
      <c r="M35" s="6">
        <f t="shared" si="1"/>
        <v>3266</v>
      </c>
      <c r="N35" s="6">
        <f t="shared" si="1"/>
        <v>370</v>
      </c>
      <c r="O35" s="6">
        <f t="shared" si="1"/>
        <v>67</v>
      </c>
      <c r="P35" s="6">
        <f t="shared" si="1"/>
        <v>20</v>
      </c>
      <c r="Q35" s="6">
        <f t="shared" si="1"/>
        <v>26</v>
      </c>
      <c r="R35" s="6">
        <f t="shared" si="1"/>
        <v>166</v>
      </c>
      <c r="S35" s="6">
        <f t="shared" si="1"/>
        <v>22</v>
      </c>
      <c r="T35" s="6">
        <f t="shared" si="1"/>
        <v>199</v>
      </c>
      <c r="U35" s="6">
        <f t="shared" si="1"/>
        <v>5977</v>
      </c>
      <c r="V35" s="6">
        <f t="shared" si="1"/>
        <v>29</v>
      </c>
      <c r="W35" s="6">
        <f t="shared" si="1"/>
        <v>371</v>
      </c>
      <c r="X35" s="6">
        <f t="shared" si="1"/>
        <v>14</v>
      </c>
      <c r="Y35" s="9">
        <f t="shared" si="1"/>
        <v>10986</v>
      </c>
      <c r="Z35" s="6">
        <f t="shared" si="1"/>
        <v>392</v>
      </c>
    </row>
    <row r="36" spans="1:26" x14ac:dyDescent="0.3">
      <c r="B36" s="7" t="s">
        <v>9</v>
      </c>
      <c r="K36" s="16">
        <f>K35/$Y$35</f>
        <v>3.4862552339340977E-2</v>
      </c>
      <c r="L36" s="16">
        <f>L35/$Y$35</f>
        <v>6.9178955033679232E-3</v>
      </c>
      <c r="M36" s="16">
        <f>M35/$Y$35</f>
        <v>0.2972874567631531</v>
      </c>
      <c r="N36" s="16">
        <f>N35/$Y$35</f>
        <v>3.3679228108501727E-2</v>
      </c>
      <c r="O36" s="16">
        <f>O35/$Y$35</f>
        <v>6.0986710358638266E-3</v>
      </c>
      <c r="P36" s="16">
        <f>P35/$Y$35</f>
        <v>1.8204988166757691E-3</v>
      </c>
      <c r="Q36" s="16">
        <f>Q35/$Y$35</f>
        <v>2.3666484616785E-3</v>
      </c>
      <c r="R36" s="16">
        <f>R35/$Y$35</f>
        <v>1.5110140178408884E-2</v>
      </c>
      <c r="S36" s="16">
        <f>S35/$Y$35</f>
        <v>2.0025486983433461E-3</v>
      </c>
      <c r="T36" s="16">
        <f>T35/$Y$35</f>
        <v>1.8113963225923905E-2</v>
      </c>
      <c r="U36" s="16">
        <f>U35/$Y$35</f>
        <v>0.54405607136355361</v>
      </c>
      <c r="V36" s="16">
        <f>V35/$Y$35</f>
        <v>2.6397232841798655E-3</v>
      </c>
      <c r="W36" s="16">
        <f>W35/$Y$35</f>
        <v>3.3770253049335515E-2</v>
      </c>
      <c r="X36" s="16">
        <f>X35/$Y$35</f>
        <v>1.2743491716730383E-3</v>
      </c>
      <c r="Y36" s="11">
        <f>SUM(K36:X36)</f>
        <v>1</v>
      </c>
    </row>
  </sheetData>
  <sheetProtection insertRows="0"/>
  <autoFilter ref="A2:Z36" xr:uid="{00000000-0009-0000-0000-000003000000}"/>
  <conditionalFormatting sqref="H3:I6 H32:I32">
    <cfRule type="expression" dxfId="27" priority="28">
      <formula>H3&lt;G3</formula>
    </cfRule>
  </conditionalFormatting>
  <conditionalFormatting sqref="H34:I34">
    <cfRule type="expression" dxfId="26" priority="27">
      <formula>H34&lt;G34</formula>
    </cfRule>
  </conditionalFormatting>
  <conditionalFormatting sqref="H7:I7">
    <cfRule type="expression" dxfId="25" priority="26">
      <formula>H7&lt;G7</formula>
    </cfRule>
  </conditionalFormatting>
  <conditionalFormatting sqref="H8:I8">
    <cfRule type="expression" dxfId="24" priority="25">
      <formula>H8&lt;G8</formula>
    </cfRule>
  </conditionalFormatting>
  <conditionalFormatting sqref="H9:I9">
    <cfRule type="expression" dxfId="23" priority="24">
      <formula>H9&lt;G9</formula>
    </cfRule>
  </conditionalFormatting>
  <conditionalFormatting sqref="H10:I10">
    <cfRule type="expression" dxfId="22" priority="23">
      <formula>H10&lt;G10</formula>
    </cfRule>
  </conditionalFormatting>
  <conditionalFormatting sqref="H11:I11">
    <cfRule type="expression" dxfId="21" priority="22">
      <formula>H11&lt;G11</formula>
    </cfRule>
  </conditionalFormatting>
  <conditionalFormatting sqref="H12:I12">
    <cfRule type="expression" dxfId="20" priority="21">
      <formula>H12&lt;G12</formula>
    </cfRule>
  </conditionalFormatting>
  <conditionalFormatting sqref="H13:I13">
    <cfRule type="expression" dxfId="19" priority="20">
      <formula>H13&lt;G13</formula>
    </cfRule>
  </conditionalFormatting>
  <conditionalFormatting sqref="H14:I14">
    <cfRule type="expression" dxfId="18" priority="19">
      <formula>H14&lt;G14</formula>
    </cfRule>
  </conditionalFormatting>
  <conditionalFormatting sqref="H15:I15">
    <cfRule type="expression" dxfId="17" priority="18">
      <formula>H15&lt;G15</formula>
    </cfRule>
  </conditionalFormatting>
  <conditionalFormatting sqref="H16:I16">
    <cfRule type="expression" dxfId="16" priority="17">
      <formula>H16&lt;G16</formula>
    </cfRule>
  </conditionalFormatting>
  <conditionalFormatting sqref="H17:I17">
    <cfRule type="expression" dxfId="15" priority="16">
      <formula>H17&lt;G17</formula>
    </cfRule>
  </conditionalFormatting>
  <conditionalFormatting sqref="H18:I18">
    <cfRule type="expression" dxfId="14" priority="15">
      <formula>H18&lt;G18</formula>
    </cfRule>
  </conditionalFormatting>
  <conditionalFormatting sqref="H19:I19">
    <cfRule type="expression" dxfId="13" priority="14">
      <formula>H19&lt;G19</formula>
    </cfRule>
  </conditionalFormatting>
  <conditionalFormatting sqref="H20:I20">
    <cfRule type="expression" dxfId="12" priority="13">
      <formula>H20&lt;G20</formula>
    </cfRule>
  </conditionalFormatting>
  <conditionalFormatting sqref="H21:I21">
    <cfRule type="expression" dxfId="11" priority="12">
      <formula>H21&lt;G21</formula>
    </cfRule>
  </conditionalFormatting>
  <conditionalFormatting sqref="H22:I22">
    <cfRule type="expression" dxfId="10" priority="11">
      <formula>H22&lt;G22</formula>
    </cfRule>
  </conditionalFormatting>
  <conditionalFormatting sqref="H23:I23">
    <cfRule type="expression" dxfId="9" priority="10">
      <formula>H23&lt;G23</formula>
    </cfRule>
  </conditionalFormatting>
  <conditionalFormatting sqref="H24:I24">
    <cfRule type="expression" dxfId="8" priority="9">
      <formula>H24&lt;G24</formula>
    </cfRule>
  </conditionalFormatting>
  <conditionalFormatting sqref="H25:I25">
    <cfRule type="expression" dxfId="7" priority="8">
      <formula>H25&lt;G25</formula>
    </cfRule>
  </conditionalFormatting>
  <conditionalFormatting sqref="H26:I26">
    <cfRule type="expression" dxfId="6" priority="7">
      <formula>H26&lt;G26</formula>
    </cfRule>
  </conditionalFormatting>
  <conditionalFormatting sqref="H27:I27">
    <cfRule type="expression" dxfId="5" priority="6">
      <formula>H27&lt;G27</formula>
    </cfRule>
  </conditionalFormatting>
  <conditionalFormatting sqref="H28:I28">
    <cfRule type="expression" dxfId="4" priority="5">
      <formula>H28&lt;G28</formula>
    </cfRule>
  </conditionalFormatting>
  <conditionalFormatting sqref="H29:I29">
    <cfRule type="expression" dxfId="3" priority="4">
      <formula>H29&lt;G29</formula>
    </cfRule>
  </conditionalFormatting>
  <conditionalFormatting sqref="H30:I30">
    <cfRule type="expression" dxfId="2" priority="3">
      <formula>H30&lt;G30</formula>
    </cfRule>
  </conditionalFormatting>
  <conditionalFormatting sqref="H31:I31">
    <cfRule type="expression" dxfId="1" priority="2">
      <formula>H31&lt;G31</formula>
    </cfRule>
  </conditionalFormatting>
  <conditionalFormatting sqref="H33:I33">
    <cfRule type="expression" dxfId="0" priority="1">
      <formula>H33&lt;G33</formula>
    </cfRule>
  </conditionalFormatting>
  <pageMargins left="0.2" right="0.2" top="0.5" bottom="0.5" header="0.3" footer="0.3"/>
  <pageSetup paperSize="9" orientation="landscape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სამუშაო ფურცლები</vt:lpstr>
      </vt:variant>
      <vt:variant>
        <vt:i4>2</vt:i4>
      </vt:variant>
      <vt:variant>
        <vt:lpstr>დასათაურებული დიაპაზონები</vt:lpstr>
      </vt:variant>
      <vt:variant>
        <vt:i4>1</vt:i4>
      </vt:variant>
    </vt:vector>
  </HeadingPairs>
  <TitlesOfParts>
    <vt:vector size="3" baseType="lpstr">
      <vt:lpstr>პროპორციული usco</vt:lpstr>
      <vt:lpstr>მაჟორიტარული usco</vt:lpstr>
      <vt:lpstr>'მაჟორიტარული usco'!ამოსაბეჭდი_წარწერები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Rusudan Lelashvili</dc:creator>
  <cp:lastModifiedBy>David Sichinava</cp:lastModifiedBy>
  <cp:lastPrinted>2020-11-02T11:31:19Z</cp:lastPrinted>
  <dcterms:created xsi:type="dcterms:W3CDTF">2014-07-31T10:11:31Z</dcterms:created>
  <dcterms:modified xsi:type="dcterms:W3CDTF">2021-04-12T18:40:45Z</dcterms:modified>
</cp:coreProperties>
</file>