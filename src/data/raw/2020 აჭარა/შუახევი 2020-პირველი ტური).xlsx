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CFE93472-198A-4645-8FB5-3D12BFE9EBBC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პროპორციული" sheetId="10" r:id="rId1"/>
    <sheet name="მაჟორიტარული" sheetId="7" r:id="rId2"/>
  </sheets>
  <definedNames>
    <definedName name="_xlnm.Print_Titles" localSheetId="1">მაჟორიტარული!$A:$D,მაჟორიტარული!$1:$1</definedName>
    <definedName name="_xlnm.Print_Titles" localSheetId="0">პროპორციული!$A:$D,პროპორციული!$1:$1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0" l="1"/>
  <c r="X52" i="7" l="1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Z52" i="7" l="1"/>
  <c r="J52" i="7"/>
  <c r="E52" i="10"/>
  <c r="C52" i="10" l="1"/>
  <c r="G52" i="10"/>
  <c r="H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H52" i="10"/>
  <c r="AG51" i="10" l="1"/>
  <c r="AG50" i="10"/>
  <c r="AG49" i="10"/>
  <c r="AG48" i="10"/>
  <c r="AG47" i="10"/>
  <c r="AG46" i="10"/>
  <c r="AG45" i="10"/>
  <c r="AG44" i="10"/>
  <c r="AG43" i="10"/>
  <c r="AG42" i="10"/>
  <c r="AG41" i="10"/>
  <c r="AG40" i="10"/>
  <c r="AG39" i="10"/>
  <c r="AG38" i="10"/>
  <c r="AG37" i="10"/>
  <c r="AG36" i="10"/>
  <c r="AG35" i="10"/>
  <c r="AG34" i="10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2" i="10"/>
  <c r="Y51" i="7"/>
  <c r="I52" i="10" l="1"/>
  <c r="AG52" i="10"/>
  <c r="E52" i="7" l="1"/>
  <c r="C52" i="7" l="1"/>
  <c r="Y50" i="7" l="1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3" i="7"/>
  <c r="Y2" i="7"/>
  <c r="I52" i="7"/>
  <c r="H52" i="7"/>
  <c r="G52" i="7"/>
  <c r="F52" i="7" l="1"/>
  <c r="Y52" i="7" l="1"/>
</calcChain>
</file>

<file path=xl/sharedStrings.xml><?xml version="1.0" encoding="utf-8"?>
<sst xmlns="http://schemas.openxmlformats.org/spreadsheetml/2006/main" count="362" uniqueCount="101">
  <si>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</si>
  <si>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</si>
  <si>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</si>
  <si>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</si>
  <si>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</si>
  <si>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</si>
  <si>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</si>
  <si>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</si>
  <si>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</si>
  <si>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 xml:space="preserve">მიღებული ბიულეტენები </t>
  </si>
  <si>
    <t>ოლქი</t>
  </si>
  <si>
    <t>82-შუახევი</t>
  </si>
  <si>
    <t>მიმაგრებული უბანი</t>
  </si>
  <si>
    <t>მაჟორიტარული ოლქი</t>
  </si>
  <si>
    <t>30</t>
  </si>
  <si>
    <t xml:space="preserve">30.82.01 </t>
  </si>
  <si>
    <t xml:space="preserve">30.82.02 </t>
  </si>
  <si>
    <t xml:space="preserve">30.82.03 </t>
  </si>
  <si>
    <t xml:space="preserve">30.82.04 </t>
  </si>
  <si>
    <t xml:space="preserve">30.82.05 </t>
  </si>
  <si>
    <t xml:space="preserve">30.82.06 </t>
  </si>
  <si>
    <t xml:space="preserve">30.82.07 </t>
  </si>
  <si>
    <t xml:space="preserve">30.82.08 </t>
  </si>
  <si>
    <t xml:space="preserve">30.82.09 </t>
  </si>
  <si>
    <t xml:space="preserve">30.82.10 </t>
  </si>
  <si>
    <t xml:space="preserve">30.82.11 </t>
  </si>
  <si>
    <t xml:space="preserve">30.82.12 </t>
  </si>
  <si>
    <t xml:space="preserve">30.82.13 </t>
  </si>
  <si>
    <t xml:space="preserve">30.82.14 </t>
  </si>
  <si>
    <t xml:space="preserve">30.82.15 </t>
  </si>
  <si>
    <t xml:space="preserve">30.82.16 </t>
  </si>
  <si>
    <t xml:space="preserve">30.82.17 </t>
  </si>
  <si>
    <t xml:space="preserve">30.82.18 </t>
  </si>
  <si>
    <t xml:space="preserve">30.82.19 </t>
  </si>
  <si>
    <t xml:space="preserve">30.82.20 </t>
  </si>
  <si>
    <t xml:space="preserve">30.82.21 </t>
  </si>
  <si>
    <t xml:space="preserve">30.82.22 </t>
  </si>
  <si>
    <t xml:space="preserve">30.82.23 </t>
  </si>
  <si>
    <t xml:space="preserve">30.82.24 </t>
  </si>
  <si>
    <t xml:space="preserve">30.82.25 </t>
  </si>
  <si>
    <t xml:space="preserve">30.82.26 </t>
  </si>
  <si>
    <t xml:space="preserve">30.82.27 </t>
  </si>
  <si>
    <t xml:space="preserve">30.82.28 </t>
  </si>
  <si>
    <t xml:space="preserve">30.82.29 </t>
  </si>
  <si>
    <t xml:space="preserve">30.82.30 </t>
  </si>
  <si>
    <t xml:space="preserve">30.82.31 </t>
  </si>
  <si>
    <t xml:space="preserve">30.82.32 </t>
  </si>
  <si>
    <t xml:space="preserve">30.82.33 </t>
  </si>
  <si>
    <t xml:space="preserve">30.82.34 </t>
  </si>
  <si>
    <t xml:space="preserve">30.82.35 </t>
  </si>
  <si>
    <t xml:space="preserve">30.82.36 </t>
  </si>
  <si>
    <t xml:space="preserve">30.82.37 </t>
  </si>
  <si>
    <t xml:space="preserve">30.82.38 </t>
  </si>
  <si>
    <t xml:space="preserve">30.82.39 </t>
  </si>
  <si>
    <t xml:space="preserve">30.82.40 </t>
  </si>
  <si>
    <t xml:space="preserve">30.82.41 </t>
  </si>
  <si>
    <t xml:space="preserve">30.82.42 </t>
  </si>
  <si>
    <t xml:space="preserve">30.82.43 </t>
  </si>
  <si>
    <t xml:space="preserve">30.82.44 </t>
  </si>
  <si>
    <t xml:space="preserve">30.82.45 </t>
  </si>
  <si>
    <t xml:space="preserve">30.82.46 </t>
  </si>
  <si>
    <t xml:space="preserve">30.82.47 </t>
  </si>
  <si>
    <t xml:space="preserve">30.82.48 </t>
  </si>
  <si>
    <t xml:space="preserve">30.82.49 </t>
  </si>
  <si>
    <t>2 „ბაქრაძე, უგულავა, ბოკერია - ევროპული საქართველო - მოძრაობა თავისუფლებისთვის“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</si>
  <si>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</si>
  <si>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</si>
  <si>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</si>
  <si>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8 „დავით თარხან-მოურავი, ირმა ინაშვილი - საქართველოს პატრიოტთა ალიანსი”</t>
  </si>
  <si>
    <t>10 „შალვა ნათელაშვილი-საქართველოს ლეიბორისტული პარტია“</t>
  </si>
  <si>
    <t>14 „ბეჟან გუნავა - ქართული არჩევანი“</t>
  </si>
  <si>
    <t>17 „ირაკლი ოქრუაშვილი - გამარჯვებული საქართველო“</t>
  </si>
  <si>
    <t>19 მოქალაქეთა პოლიტიკური გაერთიანება „ჩვენი საქართველო - სოლიდარობის ალიანსი“</t>
  </si>
  <si>
    <t>21 „თავისუფალი საქართველო (კახა კუკავა, გიორგი წულაია)“</t>
  </si>
  <si>
    <t>24 „ალეკო ელისაშვილი-მოქალაქეები“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</si>
  <si>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</si>
  <si>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</si>
  <si>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31 თავისუფლება-ზვიად გამსახურდიას გზა</t>
  </si>
  <si>
    <t>34 „სოციალური სამართლიანობისათვის“</t>
  </si>
  <si>
    <t>36 „გირჩი“</t>
  </si>
  <si>
    <t>41 ქართული ოცნება - დემოკრატიული საქართველო</t>
  </si>
  <si>
    <t>44 „ლევან ჩაჩუა, გურამ ფალავანდიშვილი - ქართული იდეა“</t>
  </si>
  <si>
    <t>47 „ზვიად ძიძიგური - საქართველოს კონსერვატიული პარტია”</t>
  </si>
  <si>
    <t>55 „ქართული მარში-ეროვნული მოძრაობა“</t>
  </si>
  <si>
    <t>56 „ლელო - მამუკა ხაზარაძე“</t>
  </si>
  <si>
    <t>30.82.50</t>
  </si>
  <si>
    <t>61 "ბაგრატიონი- სახე+"</t>
  </si>
  <si>
    <t>2. თემურ კახიძე</t>
  </si>
  <si>
    <t>4. ზაზა ტარიელაძე</t>
  </si>
  <si>
    <t>5. გია აბულაძე</t>
  </si>
  <si>
    <t>8. დავით დავითაძე</t>
  </si>
  <si>
    <r>
      <t xml:space="preserve">10. </t>
    </r>
    <r>
      <rPr>
        <sz val="10"/>
        <color theme="1"/>
        <rFont val="Sylfaen"/>
        <family val="1"/>
      </rPr>
      <t>უშანგი ცეცხლაძე</t>
    </r>
  </si>
  <si>
    <t>14. მარად აბულაძე</t>
  </si>
  <si>
    <t>17. ასლან ვაშაყმაძე</t>
  </si>
  <si>
    <t>19. ანჟელა ვერძაძე</t>
  </si>
  <si>
    <t>21. ბაჰადურ რიჟვაძე</t>
  </si>
  <si>
    <t>27. გიზო გორგილაძე</t>
  </si>
  <si>
    <t>41. ფრიდონ ფუტკარაძე</t>
  </si>
  <si>
    <t>55. ავთანდილ დიასამიძე</t>
  </si>
  <si>
    <t>56. მერაბ აბაშიძე</t>
  </si>
  <si>
    <t>61. პაატა შავაძე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</si>
</sst>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charset val="1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8"/>
      <color theme="3"/>
      <name val="Sylfaen"/>
      <family val="2"/>
      <charset val="1"/>
      <scheme val="major"/>
    </font>
    <font>
      <b/>
      <sz val="15"/>
      <color theme="3"/>
      <name val="Sylfaen"/>
      <family val="2"/>
      <charset val="1"/>
      <scheme val="minor"/>
    </font>
    <font>
      <b/>
      <sz val="13"/>
      <color theme="3"/>
      <name val="Sylfaen"/>
      <family val="2"/>
      <charset val="1"/>
      <scheme val="minor"/>
    </font>
    <font>
      <b/>
      <sz val="11"/>
      <color theme="3"/>
      <name val="Sylfaen"/>
      <family val="2"/>
      <charset val="1"/>
      <scheme val="minor"/>
    </font>
    <font>
      <sz val="11"/>
      <color rgb="FF006100"/>
      <name val="Sylfaen"/>
      <family val="2"/>
      <charset val="1"/>
      <scheme val="minor"/>
    </font>
    <font>
      <sz val="11"/>
      <color rgb="FF9C0006"/>
      <name val="Sylfaen"/>
      <family val="2"/>
      <charset val="1"/>
      <scheme val="minor"/>
    </font>
    <font>
      <sz val="11"/>
      <color rgb="FF9C5700"/>
      <name val="Sylfaen"/>
      <family val="2"/>
      <charset val="1"/>
      <scheme val="minor"/>
    </font>
    <font>
      <sz val="11"/>
      <color rgb="FF3F3F76"/>
      <name val="Sylfaen"/>
      <family val="2"/>
      <charset val="1"/>
      <scheme val="minor"/>
    </font>
    <font>
      <b/>
      <sz val="11"/>
      <color rgb="FF3F3F3F"/>
      <name val="Sylfaen"/>
      <family val="2"/>
      <charset val="1"/>
      <scheme val="minor"/>
    </font>
    <font>
      <b/>
      <sz val="11"/>
      <color rgb="FFFA7D00"/>
      <name val="Sylfaen"/>
      <family val="2"/>
      <charset val="1"/>
      <scheme val="minor"/>
    </font>
    <font>
      <sz val="11"/>
      <color rgb="FFFA7D00"/>
      <name val="Sylfaen"/>
      <family val="2"/>
      <charset val="1"/>
      <scheme val="minor"/>
    </font>
    <font>
      <b/>
      <sz val="11"/>
      <color theme="0"/>
      <name val="Sylfaen"/>
      <family val="2"/>
      <charset val="1"/>
      <scheme val="minor"/>
    </font>
    <font>
      <sz val="11"/>
      <color rgb="FFFF0000"/>
      <name val="Sylfaen"/>
      <family val="2"/>
      <charset val="1"/>
      <scheme val="minor"/>
    </font>
    <font>
      <i/>
      <sz val="11"/>
      <color rgb="FF7F7F7F"/>
      <name val="Sylfaen"/>
      <family val="2"/>
      <charset val="1"/>
      <scheme val="minor"/>
    </font>
    <font>
      <b/>
      <sz val="11"/>
      <color theme="1"/>
      <name val="Sylfaen"/>
      <family val="2"/>
      <charset val="1"/>
      <scheme val="minor"/>
    </font>
    <font>
      <sz val="11"/>
      <color theme="0"/>
      <name val="Sylfaen"/>
      <family val="2"/>
      <charset val="1"/>
      <scheme val="minor"/>
    </font>
    <font>
      <b/>
      <sz val="10"/>
      <color theme="1"/>
      <name val="Sylfaen"/>
      <family val="2"/>
      <scheme val="minor"/>
    </font>
    <font>
      <sz val="10.5"/>
      <name val="Sylfaen"/>
      <family val="1"/>
    </font>
    <font>
      <sz val="10.5"/>
      <name val="Arial"/>
      <family val="2"/>
    </font>
    <font>
      <sz val="10"/>
      <color rgb="FF000000"/>
      <name val="Sylfaen"/>
      <family val="1"/>
    </font>
    <font>
      <sz val="10.5"/>
      <name val="AcadNusx"/>
    </font>
    <font>
      <sz val="11"/>
      <name val="Arial"/>
      <family val="2"/>
    </font>
    <font>
      <sz val="11"/>
      <name val="AcadNusx"/>
    </font>
    <font>
      <sz val="10"/>
      <name val="Arial"/>
      <family val="2"/>
      <charset val="204"/>
    </font>
    <font>
      <sz val="10"/>
      <name val="AcadNusx"/>
    </font>
    <font>
      <sz val="10"/>
      <color theme="1"/>
      <name val="Sylfaen"/>
      <family val="2"/>
      <scheme val="minor"/>
    </font>
    <font>
      <sz val="10"/>
      <color theme="1"/>
      <name val="Sylfaen"/>
      <family val="1"/>
    </font>
  </fonts>
  <fills count="3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7" applyNumberFormat="0" applyAlignment="0" applyProtection="0"/>
    <xf numFmtId="0" fontId="15" fillId="7" borderId="8" applyNumberFormat="0" applyAlignment="0" applyProtection="0"/>
    <xf numFmtId="0" fontId="16" fillId="7" borderId="7" applyNumberFormat="0" applyAlignment="0" applyProtection="0"/>
    <xf numFmtId="0" fontId="17" fillId="0" borderId="9" applyNumberFormat="0" applyFill="0" applyAlignment="0" applyProtection="0"/>
    <xf numFmtId="0" fontId="18" fillId="8" borderId="1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30" fillId="0" borderId="0"/>
  </cellStyleXfs>
  <cellXfs count="39">
    <xf numFmtId="0" fontId="0" fillId="0" borderId="0" xfId="0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3" fontId="5" fillId="0" borderId="1" xfId="0" applyNumberFormat="1" applyFont="1" applyBorder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3" fontId="4" fillId="0" borderId="1" xfId="0" applyNumberFormat="1" applyFont="1" applyBorder="1" applyProtection="1"/>
    <xf numFmtId="3" fontId="5" fillId="0" borderId="1" xfId="0" applyNumberFormat="1" applyFont="1" applyBorder="1" applyProtection="1"/>
    <xf numFmtId="0" fontId="4" fillId="0" borderId="0" xfId="0" applyFont="1" applyProtection="1"/>
    <xf numFmtId="0" fontId="5" fillId="0" borderId="1" xfId="0" applyFont="1" applyBorder="1" applyAlignment="1" applyProtection="1">
      <alignment horizontal="center"/>
    </xf>
    <xf numFmtId="0" fontId="5" fillId="0" borderId="0" xfId="0" applyFont="1" applyProtection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3" fontId="4" fillId="0" borderId="1" xfId="0" applyNumberFormat="1" applyFont="1" applyBorder="1" applyAlignment="1" applyProtection="1">
      <alignment horizontal="center"/>
    </xf>
    <xf numFmtId="3" fontId="24" fillId="0" borderId="1" xfId="0" applyNumberFormat="1" applyFont="1" applyFill="1" applyBorder="1" applyAlignment="1" applyProtection="1">
      <alignment horizontal="center"/>
      <protection locked="0"/>
    </xf>
    <xf numFmtId="0" fontId="23" fillId="0" borderId="1" xfId="42" applyFont="1" applyFill="1" applyBorder="1" applyAlignment="1">
      <alignment horizontal="center" wrapText="1"/>
    </xf>
    <xf numFmtId="3" fontId="2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 applyProtection="1">
      <alignment horizontal="center"/>
    </xf>
    <xf numFmtId="0" fontId="26" fillId="0" borderId="1" xfId="42" applyFont="1" applyBorder="1" applyAlignment="1">
      <alignment horizontal="center" vertical="top" wrapText="1" readingOrder="1"/>
    </xf>
    <xf numFmtId="3" fontId="27" fillId="0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</xf>
    <xf numFmtId="3" fontId="25" fillId="0" borderId="2" xfId="0" applyNumberFormat="1" applyFont="1" applyBorder="1" applyAlignment="1">
      <alignment horizontal="center"/>
    </xf>
    <xf numFmtId="3" fontId="29" fillId="0" borderId="1" xfId="0" applyNumberFormat="1" applyFont="1" applyFill="1" applyBorder="1" applyAlignment="1">
      <alignment horizontal="center"/>
    </xf>
    <xf numFmtId="3" fontId="29" fillId="0" borderId="1" xfId="0" applyNumberFormat="1" applyFont="1" applyBorder="1" applyAlignment="1">
      <alignment horizontal="center"/>
    </xf>
    <xf numFmtId="3" fontId="28" fillId="0" borderId="1" xfId="1" applyNumberFormat="1" applyFont="1" applyBorder="1" applyAlignment="1">
      <alignment horizontal="center" vertical="center"/>
    </xf>
    <xf numFmtId="0" fontId="30" fillId="0" borderId="3" xfId="44" applyBorder="1" applyAlignment="1">
      <alignment horizontal="center" vertical="center" textRotation="90"/>
    </xf>
    <xf numFmtId="0" fontId="32" fillId="0" borderId="3" xfId="0" applyFont="1" applyBorder="1" applyAlignment="1">
      <alignment horizontal="center" vertical="center" textRotation="90"/>
    </xf>
    <xf numFmtId="0" fontId="4" fillId="0" borderId="0" xfId="0" applyFont="1" applyAlignment="1" applyProtection="1">
      <protection locked="0"/>
    </xf>
    <xf numFmtId="0" fontId="6" fillId="2" borderId="1" xfId="0" applyFont="1" applyFill="1" applyBorder="1" applyAlignment="1" applyProtection="1">
      <alignment horizontal="center" vertical="center" textRotation="90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 applyProtection="1">
      <alignment vertical="center"/>
    </xf>
    <xf numFmtId="0" fontId="31" fillId="34" borderId="3" xfId="0" applyFont="1" applyFill="1" applyBorder="1" applyAlignment="1">
      <alignment horizontal="center" vertical="center" textRotation="90"/>
    </xf>
    <xf numFmtId="0" fontId="31" fillId="34" borderId="13" xfId="0" applyFont="1" applyFill="1" applyBorder="1" applyAlignment="1">
      <alignment horizontal="center" vertical="center" textRotation="90"/>
    </xf>
    <xf numFmtId="0" fontId="31" fillId="34" borderId="14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</cellXfs>
  <cellStyles count="45">
    <cellStyle name="20% - მახვილი1" xfId="19" builtinId="30" customBuiltin="1"/>
    <cellStyle name="20% - მახვილი2" xfId="23" builtinId="34" customBuiltin="1"/>
    <cellStyle name="20% - მახვილი3" xfId="27" builtinId="38" customBuiltin="1"/>
    <cellStyle name="20% - მახვილი4" xfId="31" builtinId="42" customBuiltin="1"/>
    <cellStyle name="20% - მახვილი5" xfId="35" builtinId="46" customBuiltin="1"/>
    <cellStyle name="20% - მახვილი6" xfId="39" builtinId="50" customBuiltin="1"/>
    <cellStyle name="40% - მახვილი1" xfId="20" builtinId="31" customBuiltin="1"/>
    <cellStyle name="40% - მახვილი2" xfId="24" builtinId="35" customBuiltin="1"/>
    <cellStyle name="40% - მახვილი3" xfId="28" builtinId="39" customBuiltin="1"/>
    <cellStyle name="40% - მახვილი4" xfId="32" builtinId="43" customBuiltin="1"/>
    <cellStyle name="40% - მახვილი5" xfId="36" builtinId="47" customBuiltin="1"/>
    <cellStyle name="40% - მახვილი6" xfId="40" builtinId="51" customBuiltin="1"/>
    <cellStyle name="60% - მახვილი1" xfId="21" builtinId="32" customBuiltin="1"/>
    <cellStyle name="60% - მახვილი2" xfId="25" builtinId="36" customBuiltin="1"/>
    <cellStyle name="60% - მახვილი3" xfId="29" builtinId="40" customBuiltin="1"/>
    <cellStyle name="60% - მახვილი4" xfId="33" builtinId="44" customBuiltin="1"/>
    <cellStyle name="60% - მახვილი5" xfId="37" builtinId="48" customBuiltin="1"/>
    <cellStyle name="60% - მახვილი6" xfId="41" builtinId="52" customBuiltin="1"/>
    <cellStyle name="Normal 2" xfId="42" xr:uid="{00000000-0005-0000-0000-00002F000000}"/>
    <cellStyle name="Note 2" xfId="43" xr:uid="{00000000-0005-0000-0000-000030000000}"/>
    <cellStyle name="Обычный_16 noemberi" xfId="44" xr:uid="{CFF803EE-59C6-4087-8971-4A8278694445}"/>
    <cellStyle name="გამოთვლა" xfId="12" builtinId="22" customBuiltin="1"/>
    <cellStyle name="გამოტანა" xfId="11" builtinId="21" customBuiltin="1"/>
    <cellStyle name="განმარტებითი ტექსტი" xfId="16" builtinId="53" customBuiltin="1"/>
    <cellStyle name="გაფრთხილების ტექსტი" xfId="15" builtinId="11" customBuiltin="1"/>
    <cellStyle name="დაკავშირებული უჯრა" xfId="13" builtinId="24" customBuiltin="1"/>
    <cellStyle name="კარგი" xfId="7" builtinId="26" customBuiltin="1"/>
    <cellStyle name="მახვილი1" xfId="18" builtinId="29" customBuiltin="1"/>
    <cellStyle name="მახვილი2" xfId="22" builtinId="33" customBuiltin="1"/>
    <cellStyle name="მახვილი3" xfId="26" builtinId="37" customBuiltin="1"/>
    <cellStyle name="მახვილი4" xfId="30" builtinId="41" customBuiltin="1"/>
    <cellStyle name="მახვილი5" xfId="34" builtinId="45" customBuiltin="1"/>
    <cellStyle name="მახვილი6" xfId="38" builtinId="49" customBuiltin="1"/>
    <cellStyle name="ნეიტრალური" xfId="9" builtinId="28" customBuiltin="1"/>
    <cellStyle name="პროცენტი" xfId="1" builtinId="5"/>
    <cellStyle name="სათაური" xfId="2" builtinId="15" customBuiltin="1"/>
    <cellStyle name="სათაური 1" xfId="3" builtinId="16" customBuiltin="1"/>
    <cellStyle name="სათაური 2" xfId="4" builtinId="17" customBuiltin="1"/>
    <cellStyle name="სათაური 3" xfId="5" builtinId="18" customBuiltin="1"/>
    <cellStyle name="სათაური 4" xfId="6" builtinId="19" customBuiltin="1"/>
    <cellStyle name="სულ" xfId="17" builtinId="25" customBuiltin="1"/>
    <cellStyle name="უჯრის შემოწმება" xfId="14" builtinId="23" customBuiltin="1"/>
    <cellStyle name="შეტანა" xfId="10" builtinId="20" customBuiltin="1"/>
    <cellStyle name="ჩვეულებრივი" xfId="0" builtinId="0"/>
    <cellStyle name="ცუდი" xfId="8" builtinId="27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workbookViewId="0">
      <pane ySplit="1" topLeftCell="A30" activePane="bottomLeft" state="frozen"/>
      <selection pane="bottomLeft" activeCell="A52" sqref="A52:XFD52"/>
    </sheetView>
  </sheetViews>
  <sheetFormatPr defaultColWidth="9.109375" defaultRowHeight="14.4" x14ac:dyDescent="0.3"/>
  <cols>
    <col min="1" max="1" width="6" style="1" customWidth="1"/>
    <col min="2" max="2" width="11.109375" style="7" customWidth="1"/>
    <col min="3" max="3" width="9.109375" style="7" customWidth="1"/>
    <col min="4" max="4" width="4.6640625" style="7" customWidth="1"/>
    <col min="5" max="5" width="8.21875" style="10" customWidth="1"/>
    <col min="6" max="6" width="7.77734375" style="7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9.88671875" style="1" customWidth="1"/>
    <col min="11" max="11" width="10" style="1" customWidth="1"/>
    <col min="12" max="12" width="8.88671875" style="1" customWidth="1"/>
    <col min="13" max="13" width="7.6640625" style="1" customWidth="1"/>
    <col min="14" max="14" width="9" style="1" customWidth="1"/>
    <col min="15" max="15" width="7.77734375" style="1" customWidth="1"/>
    <col min="16" max="17" width="8" style="1" customWidth="1"/>
    <col min="18" max="18" width="8.88671875" style="1" customWidth="1"/>
    <col min="19" max="19" width="10.33203125" style="1" customWidth="1"/>
    <col min="20" max="20" width="8.88671875" style="1" customWidth="1"/>
    <col min="21" max="21" width="8.109375" style="1" customWidth="1"/>
    <col min="22" max="22" width="8.33203125" style="1" customWidth="1"/>
    <col min="23" max="23" width="8.88671875" style="1" customWidth="1"/>
    <col min="24" max="25" width="8" style="1" customWidth="1"/>
    <col min="26" max="26" width="8.33203125" style="1" customWidth="1"/>
    <col min="27" max="27" width="9.88671875" style="1" customWidth="1"/>
    <col min="28" max="28" width="9.33203125" style="1" customWidth="1"/>
    <col min="29" max="29" width="8.88671875" style="1" customWidth="1"/>
    <col min="30" max="30" width="7.6640625" style="1" customWidth="1"/>
    <col min="31" max="32" width="7.77734375" style="1" customWidth="1"/>
    <col min="33" max="33" width="8" style="10" customWidth="1"/>
    <col min="34" max="34" width="5.21875" style="1" customWidth="1"/>
    <col min="35" max="16384" width="9.109375" style="1"/>
  </cols>
  <sheetData>
    <row r="1" spans="1:34" s="30" customFormat="1" ht="30" customHeight="1" x14ac:dyDescent="0.3">
      <c r="A1" s="32" t="s">
        <v>13</v>
      </c>
      <c r="B1" s="32" t="s">
        <v>10</v>
      </c>
      <c r="C1" s="32" t="s">
        <v>0</v>
      </c>
      <c r="D1" s="32" t="s">
        <v>12</v>
      </c>
      <c r="E1" s="33" t="s">
        <v>1</v>
      </c>
      <c r="F1" s="32" t="s">
        <v>2</v>
      </c>
      <c r="G1" s="32" t="s">
        <v>3</v>
      </c>
      <c r="H1" s="32" t="s">
        <v>4</v>
      </c>
      <c r="I1" s="32" t="s">
        <v>5</v>
      </c>
      <c r="J1" s="32" t="s">
        <v>9</v>
      </c>
      <c r="K1" s="31" t="s">
        <v>64</v>
      </c>
      <c r="L1" s="31" t="s">
        <v>65</v>
      </c>
      <c r="M1" s="31" t="s">
        <v>66</v>
      </c>
      <c r="N1" s="31" t="s">
        <v>67</v>
      </c>
      <c r="O1" s="31" t="s">
        <v>68</v>
      </c>
      <c r="P1" s="31" t="s">
        <v>69</v>
      </c>
      <c r="Q1" s="31" t="s">
        <v>70</v>
      </c>
      <c r="R1" s="31" t="s">
        <v>71</v>
      </c>
      <c r="S1" s="31" t="s">
        <v>72</v>
      </c>
      <c r="T1" s="31" t="s">
        <v>73</v>
      </c>
      <c r="U1" s="31" t="s">
        <v>74</v>
      </c>
      <c r="V1" s="31" t="s">
        <v>75</v>
      </c>
      <c r="W1" s="31" t="s">
        <v>76</v>
      </c>
      <c r="X1" s="31" t="s">
        <v>77</v>
      </c>
      <c r="Y1" s="31" t="s">
        <v>78</v>
      </c>
      <c r="Z1" s="31" t="s">
        <v>79</v>
      </c>
      <c r="AA1" s="31" t="s">
        <v>80</v>
      </c>
      <c r="AB1" s="31" t="s">
        <v>81</v>
      </c>
      <c r="AC1" s="31" t="s">
        <v>82</v>
      </c>
      <c r="AD1" s="31" t="s">
        <v>83</v>
      </c>
      <c r="AE1" s="31" t="s">
        <v>84</v>
      </c>
      <c r="AF1" s="31" t="s">
        <v>86</v>
      </c>
      <c r="AG1" s="32" t="s">
        <v>8</v>
      </c>
      <c r="AH1" s="32" t="s">
        <v>6</v>
      </c>
    </row>
    <row r="2" spans="1:34" ht="16.2" x14ac:dyDescent="0.4">
      <c r="A2" s="13" t="s">
        <v>14</v>
      </c>
      <c r="B2" s="14" t="s">
        <v>11</v>
      </c>
      <c r="C2" s="14" t="s">
        <v>15</v>
      </c>
      <c r="D2" s="3"/>
      <c r="E2" s="20">
        <v>759</v>
      </c>
      <c r="F2" s="21">
        <v>5</v>
      </c>
      <c r="G2" s="17">
        <v>136</v>
      </c>
      <c r="H2" s="17">
        <v>415</v>
      </c>
      <c r="I2" s="16">
        <v>493</v>
      </c>
      <c r="J2" s="18">
        <v>700</v>
      </c>
      <c r="K2" s="26">
        <v>11</v>
      </c>
      <c r="L2" s="26">
        <v>2</v>
      </c>
      <c r="M2" s="26">
        <v>1</v>
      </c>
      <c r="N2" s="26">
        <v>134</v>
      </c>
      <c r="O2" s="26">
        <v>14</v>
      </c>
      <c r="P2" s="26">
        <v>3</v>
      </c>
      <c r="Q2" s="26">
        <v>0</v>
      </c>
      <c r="R2" s="26">
        <v>2</v>
      </c>
      <c r="S2" s="26">
        <v>0</v>
      </c>
      <c r="T2" s="26">
        <v>2</v>
      </c>
      <c r="U2" s="26">
        <v>2</v>
      </c>
      <c r="V2" s="26">
        <v>0</v>
      </c>
      <c r="W2" s="26">
        <v>19</v>
      </c>
      <c r="X2" s="26">
        <v>1</v>
      </c>
      <c r="Y2" s="26">
        <v>0</v>
      </c>
      <c r="Z2" s="26">
        <v>5</v>
      </c>
      <c r="AA2" s="26">
        <v>256</v>
      </c>
      <c r="AB2" s="26">
        <v>2</v>
      </c>
      <c r="AC2" s="26">
        <v>0</v>
      </c>
      <c r="AD2" s="26">
        <v>7</v>
      </c>
      <c r="AE2" s="26">
        <v>12</v>
      </c>
      <c r="AF2" s="26">
        <v>0</v>
      </c>
      <c r="AG2" s="8">
        <f t="shared" ref="AG2:AG33" si="0">SUM(K2:AF2)</f>
        <v>473</v>
      </c>
      <c r="AH2" s="25">
        <v>20</v>
      </c>
    </row>
    <row r="3" spans="1:34" ht="16.2" x14ac:dyDescent="0.4">
      <c r="A3" s="13" t="s">
        <v>14</v>
      </c>
      <c r="B3" s="14" t="s">
        <v>11</v>
      </c>
      <c r="C3" s="14" t="s">
        <v>16</v>
      </c>
      <c r="D3" s="3"/>
      <c r="E3" s="20">
        <v>216</v>
      </c>
      <c r="F3" s="21">
        <v>2</v>
      </c>
      <c r="G3" s="17">
        <v>29</v>
      </c>
      <c r="H3" s="17">
        <v>92</v>
      </c>
      <c r="I3" s="16">
        <v>123</v>
      </c>
      <c r="J3" s="18">
        <v>250</v>
      </c>
      <c r="K3" s="26">
        <v>4</v>
      </c>
      <c r="L3" s="26">
        <v>3</v>
      </c>
      <c r="M3" s="26">
        <v>0</v>
      </c>
      <c r="N3" s="26">
        <v>22</v>
      </c>
      <c r="O3" s="26">
        <v>2</v>
      </c>
      <c r="P3" s="26">
        <v>3</v>
      </c>
      <c r="Q3" s="26">
        <v>0</v>
      </c>
      <c r="R3" s="26">
        <v>0</v>
      </c>
      <c r="S3" s="26">
        <v>0</v>
      </c>
      <c r="T3" s="26">
        <v>0</v>
      </c>
      <c r="U3" s="26">
        <v>1</v>
      </c>
      <c r="V3" s="26">
        <v>0</v>
      </c>
      <c r="W3" s="26">
        <v>5</v>
      </c>
      <c r="X3" s="26">
        <v>0</v>
      </c>
      <c r="Y3" s="26">
        <v>1</v>
      </c>
      <c r="Z3" s="26">
        <v>2</v>
      </c>
      <c r="AA3" s="26">
        <v>70</v>
      </c>
      <c r="AB3" s="26">
        <v>0</v>
      </c>
      <c r="AC3" s="26">
        <v>0</v>
      </c>
      <c r="AD3" s="26">
        <v>0</v>
      </c>
      <c r="AE3" s="26">
        <v>4</v>
      </c>
      <c r="AF3" s="26">
        <v>0</v>
      </c>
      <c r="AG3" s="8">
        <f t="shared" si="0"/>
        <v>117</v>
      </c>
      <c r="AH3" s="26">
        <v>6</v>
      </c>
    </row>
    <row r="4" spans="1:34" ht="16.2" x14ac:dyDescent="0.4">
      <c r="A4" s="13" t="s">
        <v>14</v>
      </c>
      <c r="B4" s="14" t="s">
        <v>11</v>
      </c>
      <c r="C4" s="14" t="s">
        <v>17</v>
      </c>
      <c r="D4" s="3"/>
      <c r="E4" s="20">
        <v>317</v>
      </c>
      <c r="F4" s="21">
        <v>0</v>
      </c>
      <c r="G4" s="17">
        <v>81</v>
      </c>
      <c r="H4" s="17">
        <v>182</v>
      </c>
      <c r="I4" s="16">
        <v>217</v>
      </c>
      <c r="J4" s="18">
        <v>350</v>
      </c>
      <c r="K4" s="26">
        <v>4</v>
      </c>
      <c r="L4" s="26">
        <v>1</v>
      </c>
      <c r="M4" s="26">
        <v>1</v>
      </c>
      <c r="N4" s="26">
        <v>114</v>
      </c>
      <c r="O4" s="26">
        <v>11</v>
      </c>
      <c r="P4" s="26">
        <v>2</v>
      </c>
      <c r="Q4" s="26">
        <v>0</v>
      </c>
      <c r="R4" s="26">
        <v>0</v>
      </c>
      <c r="S4" s="26">
        <v>0</v>
      </c>
      <c r="T4" s="26">
        <v>0</v>
      </c>
      <c r="U4" s="26">
        <v>1</v>
      </c>
      <c r="V4" s="26">
        <v>0</v>
      </c>
      <c r="W4" s="26">
        <v>9</v>
      </c>
      <c r="X4" s="26">
        <v>0</v>
      </c>
      <c r="Y4" s="26">
        <v>0</v>
      </c>
      <c r="Z4" s="26">
        <v>0</v>
      </c>
      <c r="AA4" s="26">
        <v>56</v>
      </c>
      <c r="AB4" s="26">
        <v>0</v>
      </c>
      <c r="AC4" s="26">
        <v>1</v>
      </c>
      <c r="AD4" s="26">
        <v>3</v>
      </c>
      <c r="AE4" s="26">
        <v>7</v>
      </c>
      <c r="AF4" s="26">
        <v>0</v>
      </c>
      <c r="AG4" s="8">
        <f t="shared" si="0"/>
        <v>210</v>
      </c>
      <c r="AH4" s="26">
        <v>7</v>
      </c>
    </row>
    <row r="5" spans="1:34" ht="16.2" x14ac:dyDescent="0.4">
      <c r="A5" s="13" t="s">
        <v>14</v>
      </c>
      <c r="B5" s="14" t="s">
        <v>11</v>
      </c>
      <c r="C5" s="14" t="s">
        <v>18</v>
      </c>
      <c r="D5" s="3"/>
      <c r="E5" s="20">
        <v>434</v>
      </c>
      <c r="F5" s="21">
        <v>1</v>
      </c>
      <c r="G5" s="17">
        <v>68</v>
      </c>
      <c r="H5" s="17">
        <v>219</v>
      </c>
      <c r="I5" s="16">
        <v>269</v>
      </c>
      <c r="J5" s="18">
        <v>450</v>
      </c>
      <c r="K5" s="26">
        <v>16</v>
      </c>
      <c r="L5" s="26">
        <v>0</v>
      </c>
      <c r="M5" s="26">
        <v>0</v>
      </c>
      <c r="N5" s="26">
        <v>87</v>
      </c>
      <c r="O5" s="26">
        <v>9</v>
      </c>
      <c r="P5" s="26">
        <v>3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7</v>
      </c>
      <c r="X5" s="26">
        <v>0</v>
      </c>
      <c r="Y5" s="26">
        <v>1</v>
      </c>
      <c r="Z5" s="26">
        <v>5</v>
      </c>
      <c r="AA5" s="26">
        <v>104</v>
      </c>
      <c r="AB5" s="26">
        <v>0</v>
      </c>
      <c r="AC5" s="26">
        <v>0</v>
      </c>
      <c r="AD5" s="26">
        <v>17</v>
      </c>
      <c r="AE5" s="26">
        <v>12</v>
      </c>
      <c r="AF5" s="26">
        <v>0</v>
      </c>
      <c r="AG5" s="8">
        <f t="shared" si="0"/>
        <v>261</v>
      </c>
      <c r="AH5" s="26">
        <v>7</v>
      </c>
    </row>
    <row r="6" spans="1:34" ht="16.2" x14ac:dyDescent="0.4">
      <c r="A6" s="13" t="s">
        <v>14</v>
      </c>
      <c r="B6" s="14" t="s">
        <v>11</v>
      </c>
      <c r="C6" s="14" t="s">
        <v>19</v>
      </c>
      <c r="D6" s="3"/>
      <c r="E6" s="20">
        <v>475</v>
      </c>
      <c r="F6" s="21">
        <v>2</v>
      </c>
      <c r="G6" s="17">
        <v>86</v>
      </c>
      <c r="H6" s="17">
        <v>239</v>
      </c>
      <c r="I6" s="16">
        <v>285</v>
      </c>
      <c r="J6" s="18">
        <v>500</v>
      </c>
      <c r="K6" s="26">
        <v>31</v>
      </c>
      <c r="L6" s="26">
        <v>0</v>
      </c>
      <c r="M6" s="26">
        <v>1</v>
      </c>
      <c r="N6" s="26">
        <v>87</v>
      </c>
      <c r="O6" s="26">
        <v>5</v>
      </c>
      <c r="P6" s="26">
        <v>0</v>
      </c>
      <c r="Q6" s="26">
        <v>1</v>
      </c>
      <c r="R6" s="26">
        <v>1</v>
      </c>
      <c r="S6" s="26">
        <v>2</v>
      </c>
      <c r="T6" s="26">
        <v>3</v>
      </c>
      <c r="U6" s="26">
        <v>0</v>
      </c>
      <c r="V6" s="26">
        <v>0</v>
      </c>
      <c r="W6" s="26">
        <v>3</v>
      </c>
      <c r="X6" s="26">
        <v>0</v>
      </c>
      <c r="Y6" s="26">
        <v>0</v>
      </c>
      <c r="Z6" s="26">
        <v>0</v>
      </c>
      <c r="AA6" s="26">
        <v>136</v>
      </c>
      <c r="AB6" s="26">
        <v>0</v>
      </c>
      <c r="AC6" s="26">
        <v>0</v>
      </c>
      <c r="AD6" s="26">
        <v>0</v>
      </c>
      <c r="AE6" s="26">
        <v>4</v>
      </c>
      <c r="AF6" s="26">
        <v>0</v>
      </c>
      <c r="AG6" s="8">
        <f t="shared" si="0"/>
        <v>274</v>
      </c>
      <c r="AH6" s="26">
        <v>11</v>
      </c>
    </row>
    <row r="7" spans="1:34" ht="16.2" x14ac:dyDescent="0.4">
      <c r="A7" s="13" t="s">
        <v>14</v>
      </c>
      <c r="B7" s="14" t="s">
        <v>11</v>
      </c>
      <c r="C7" s="14" t="s">
        <v>20</v>
      </c>
      <c r="D7" s="3"/>
      <c r="E7" s="20">
        <v>381</v>
      </c>
      <c r="F7" s="21">
        <v>2</v>
      </c>
      <c r="G7" s="17">
        <v>63</v>
      </c>
      <c r="H7" s="17">
        <v>167</v>
      </c>
      <c r="I7" s="16">
        <v>229</v>
      </c>
      <c r="J7" s="18">
        <v>400</v>
      </c>
      <c r="K7" s="26">
        <v>7</v>
      </c>
      <c r="L7" s="26">
        <v>0</v>
      </c>
      <c r="M7" s="26">
        <v>0</v>
      </c>
      <c r="N7" s="26">
        <v>91</v>
      </c>
      <c r="O7" s="26">
        <v>9</v>
      </c>
      <c r="P7" s="26">
        <v>2</v>
      </c>
      <c r="Q7" s="26">
        <v>1</v>
      </c>
      <c r="R7" s="26">
        <v>0</v>
      </c>
      <c r="S7" s="26">
        <v>0</v>
      </c>
      <c r="T7" s="26">
        <v>7</v>
      </c>
      <c r="U7" s="26">
        <v>0</v>
      </c>
      <c r="V7" s="26">
        <v>0</v>
      </c>
      <c r="W7" s="26">
        <v>3</v>
      </c>
      <c r="X7" s="26">
        <v>0</v>
      </c>
      <c r="Y7" s="26">
        <v>0</v>
      </c>
      <c r="Z7" s="26">
        <v>1</v>
      </c>
      <c r="AA7" s="26">
        <v>100</v>
      </c>
      <c r="AB7" s="26">
        <v>0</v>
      </c>
      <c r="AC7" s="26">
        <v>0</v>
      </c>
      <c r="AD7" s="26">
        <v>0</v>
      </c>
      <c r="AE7" s="26">
        <v>4</v>
      </c>
      <c r="AF7" s="26">
        <v>0</v>
      </c>
      <c r="AG7" s="8">
        <f t="shared" si="0"/>
        <v>225</v>
      </c>
      <c r="AH7" s="26">
        <v>3</v>
      </c>
    </row>
    <row r="8" spans="1:34" ht="16.2" x14ac:dyDescent="0.4">
      <c r="A8" s="13" t="s">
        <v>14</v>
      </c>
      <c r="B8" s="14" t="s">
        <v>11</v>
      </c>
      <c r="C8" s="14" t="s">
        <v>21</v>
      </c>
      <c r="D8" s="3"/>
      <c r="E8" s="20">
        <v>179</v>
      </c>
      <c r="F8" s="21">
        <v>0</v>
      </c>
      <c r="G8" s="17">
        <v>37</v>
      </c>
      <c r="H8" s="17">
        <v>90</v>
      </c>
      <c r="I8" s="16">
        <v>109</v>
      </c>
      <c r="J8" s="18">
        <v>200</v>
      </c>
      <c r="K8" s="26">
        <v>3</v>
      </c>
      <c r="L8" s="26">
        <v>0</v>
      </c>
      <c r="M8" s="26">
        <v>1</v>
      </c>
      <c r="N8" s="26">
        <v>38</v>
      </c>
      <c r="O8" s="26">
        <v>6</v>
      </c>
      <c r="P8" s="26">
        <v>0</v>
      </c>
      <c r="Q8" s="26">
        <v>0</v>
      </c>
      <c r="R8" s="26">
        <v>0</v>
      </c>
      <c r="S8" s="26">
        <v>0</v>
      </c>
      <c r="T8" s="26">
        <v>1</v>
      </c>
      <c r="U8" s="26">
        <v>0</v>
      </c>
      <c r="V8" s="26">
        <v>0</v>
      </c>
      <c r="W8" s="26">
        <v>1</v>
      </c>
      <c r="X8" s="26">
        <v>1</v>
      </c>
      <c r="Y8" s="26">
        <v>0</v>
      </c>
      <c r="Z8" s="26">
        <v>0</v>
      </c>
      <c r="AA8" s="26">
        <v>49</v>
      </c>
      <c r="AB8" s="26">
        <v>0</v>
      </c>
      <c r="AC8" s="26">
        <v>0</v>
      </c>
      <c r="AD8" s="26">
        <v>0</v>
      </c>
      <c r="AE8" s="26">
        <v>8</v>
      </c>
      <c r="AF8" s="26">
        <v>0</v>
      </c>
      <c r="AG8" s="8">
        <f t="shared" si="0"/>
        <v>108</v>
      </c>
      <c r="AH8" s="26">
        <v>1</v>
      </c>
    </row>
    <row r="9" spans="1:34" ht="16.2" x14ac:dyDescent="0.4">
      <c r="A9" s="13" t="s">
        <v>14</v>
      </c>
      <c r="B9" s="14" t="s">
        <v>11</v>
      </c>
      <c r="C9" s="14" t="s">
        <v>22</v>
      </c>
      <c r="D9" s="3"/>
      <c r="E9" s="20">
        <v>112</v>
      </c>
      <c r="F9" s="21">
        <v>3</v>
      </c>
      <c r="G9" s="17">
        <v>16</v>
      </c>
      <c r="H9" s="17">
        <v>65</v>
      </c>
      <c r="I9" s="16">
        <v>65</v>
      </c>
      <c r="J9" s="18">
        <v>150</v>
      </c>
      <c r="K9" s="26">
        <v>1</v>
      </c>
      <c r="L9" s="26">
        <v>1</v>
      </c>
      <c r="M9" s="26">
        <v>0</v>
      </c>
      <c r="N9" s="26">
        <v>21</v>
      </c>
      <c r="O9" s="26">
        <v>4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1</v>
      </c>
      <c r="X9" s="26">
        <v>0</v>
      </c>
      <c r="Y9" s="26">
        <v>0</v>
      </c>
      <c r="Z9" s="26">
        <v>0</v>
      </c>
      <c r="AA9" s="26">
        <v>33</v>
      </c>
      <c r="AB9" s="26">
        <v>0</v>
      </c>
      <c r="AC9" s="26">
        <v>1</v>
      </c>
      <c r="AD9" s="26">
        <v>1</v>
      </c>
      <c r="AE9" s="26">
        <v>1</v>
      </c>
      <c r="AF9" s="26">
        <v>0</v>
      </c>
      <c r="AG9" s="8">
        <f t="shared" si="0"/>
        <v>64</v>
      </c>
      <c r="AH9" s="26">
        <v>1</v>
      </c>
    </row>
    <row r="10" spans="1:34" ht="16.2" x14ac:dyDescent="0.4">
      <c r="A10" s="13" t="s">
        <v>14</v>
      </c>
      <c r="B10" s="14" t="s">
        <v>11</v>
      </c>
      <c r="C10" s="14" t="s">
        <v>23</v>
      </c>
      <c r="D10" s="3"/>
      <c r="E10" s="20">
        <v>336</v>
      </c>
      <c r="F10" s="21">
        <v>1</v>
      </c>
      <c r="G10" s="17">
        <v>63</v>
      </c>
      <c r="H10" s="17">
        <v>170</v>
      </c>
      <c r="I10" s="16">
        <v>212</v>
      </c>
      <c r="J10" s="18">
        <v>350</v>
      </c>
      <c r="K10" s="26">
        <v>12</v>
      </c>
      <c r="L10" s="26">
        <v>0</v>
      </c>
      <c r="M10" s="26">
        <v>1</v>
      </c>
      <c r="N10" s="26">
        <v>73</v>
      </c>
      <c r="O10" s="26">
        <v>8</v>
      </c>
      <c r="P10" s="26">
        <v>2</v>
      </c>
      <c r="Q10" s="26">
        <v>0</v>
      </c>
      <c r="R10" s="26">
        <v>0</v>
      </c>
      <c r="S10" s="26">
        <v>1</v>
      </c>
      <c r="T10" s="26">
        <v>0</v>
      </c>
      <c r="U10" s="26">
        <v>2</v>
      </c>
      <c r="V10" s="26">
        <v>0</v>
      </c>
      <c r="W10" s="26">
        <v>6</v>
      </c>
      <c r="X10" s="26">
        <v>0</v>
      </c>
      <c r="Y10" s="26">
        <v>0</v>
      </c>
      <c r="Z10" s="26">
        <v>0</v>
      </c>
      <c r="AA10" s="26">
        <v>91</v>
      </c>
      <c r="AB10" s="26">
        <v>0</v>
      </c>
      <c r="AC10" s="26">
        <v>1</v>
      </c>
      <c r="AD10" s="26">
        <v>0</v>
      </c>
      <c r="AE10" s="26">
        <v>8</v>
      </c>
      <c r="AF10" s="26">
        <v>0</v>
      </c>
      <c r="AG10" s="8">
        <f t="shared" si="0"/>
        <v>205</v>
      </c>
      <c r="AH10" s="26">
        <v>7</v>
      </c>
    </row>
    <row r="11" spans="1:34" ht="16.2" x14ac:dyDescent="0.4">
      <c r="A11" s="13" t="s">
        <v>14</v>
      </c>
      <c r="B11" s="14" t="s">
        <v>11</v>
      </c>
      <c r="C11" s="14" t="s">
        <v>24</v>
      </c>
      <c r="D11" s="3"/>
      <c r="E11" s="20">
        <v>344</v>
      </c>
      <c r="F11" s="21">
        <v>1</v>
      </c>
      <c r="G11" s="17">
        <v>85</v>
      </c>
      <c r="H11" s="17">
        <v>191</v>
      </c>
      <c r="I11" s="16">
        <v>252</v>
      </c>
      <c r="J11" s="18">
        <v>350</v>
      </c>
      <c r="K11" s="26">
        <v>10</v>
      </c>
      <c r="L11" s="26">
        <v>2</v>
      </c>
      <c r="M11" s="26">
        <v>0</v>
      </c>
      <c r="N11" s="26">
        <v>80</v>
      </c>
      <c r="O11" s="26">
        <v>18</v>
      </c>
      <c r="P11" s="26">
        <v>2</v>
      </c>
      <c r="Q11" s="26">
        <v>0</v>
      </c>
      <c r="R11" s="26">
        <v>0</v>
      </c>
      <c r="S11" s="26">
        <v>0</v>
      </c>
      <c r="T11" s="26">
        <v>1</v>
      </c>
      <c r="U11" s="26">
        <v>1</v>
      </c>
      <c r="V11" s="26">
        <v>0</v>
      </c>
      <c r="W11" s="26">
        <v>9</v>
      </c>
      <c r="X11" s="26">
        <v>0</v>
      </c>
      <c r="Y11" s="26">
        <v>0</v>
      </c>
      <c r="Z11" s="26">
        <v>1</v>
      </c>
      <c r="AA11" s="26">
        <v>106</v>
      </c>
      <c r="AB11" s="26">
        <v>0</v>
      </c>
      <c r="AC11" s="26">
        <v>1</v>
      </c>
      <c r="AD11" s="26">
        <v>0</v>
      </c>
      <c r="AE11" s="26">
        <v>15</v>
      </c>
      <c r="AF11" s="26">
        <v>0</v>
      </c>
      <c r="AG11" s="8">
        <f t="shared" si="0"/>
        <v>246</v>
      </c>
      <c r="AH11" s="26">
        <v>6</v>
      </c>
    </row>
    <row r="12" spans="1:34" ht="16.2" x14ac:dyDescent="0.4">
      <c r="A12" s="13" t="s">
        <v>14</v>
      </c>
      <c r="B12" s="14" t="s">
        <v>11</v>
      </c>
      <c r="C12" s="14" t="s">
        <v>25</v>
      </c>
      <c r="D12" s="3"/>
      <c r="E12" s="20">
        <v>133</v>
      </c>
      <c r="F12" s="21">
        <v>2</v>
      </c>
      <c r="G12" s="17">
        <v>32</v>
      </c>
      <c r="H12" s="17">
        <v>74</v>
      </c>
      <c r="I12" s="16">
        <v>92</v>
      </c>
      <c r="J12" s="18">
        <v>150</v>
      </c>
      <c r="K12" s="26">
        <v>4</v>
      </c>
      <c r="L12" s="26">
        <v>1</v>
      </c>
      <c r="M12" s="26">
        <v>0</v>
      </c>
      <c r="N12" s="26">
        <v>12</v>
      </c>
      <c r="O12" s="26">
        <v>17</v>
      </c>
      <c r="P12" s="26">
        <v>0</v>
      </c>
      <c r="Q12" s="26">
        <v>1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1</v>
      </c>
      <c r="X12" s="26">
        <v>0</v>
      </c>
      <c r="Y12" s="26">
        <v>0</v>
      </c>
      <c r="Z12" s="26">
        <v>1</v>
      </c>
      <c r="AA12" s="26">
        <v>53</v>
      </c>
      <c r="AB12" s="26">
        <v>1</v>
      </c>
      <c r="AC12" s="26">
        <v>0</v>
      </c>
      <c r="AD12" s="26">
        <v>1</v>
      </c>
      <c r="AE12" s="26">
        <v>0</v>
      </c>
      <c r="AF12" s="26">
        <v>0</v>
      </c>
      <c r="AG12" s="8">
        <f t="shared" si="0"/>
        <v>92</v>
      </c>
      <c r="AH12" s="26">
        <v>0</v>
      </c>
    </row>
    <row r="13" spans="1:34" ht="16.2" x14ac:dyDescent="0.4">
      <c r="A13" s="13" t="s">
        <v>14</v>
      </c>
      <c r="B13" s="14" t="s">
        <v>11</v>
      </c>
      <c r="C13" s="14" t="s">
        <v>26</v>
      </c>
      <c r="D13" s="3"/>
      <c r="E13" s="20">
        <v>211</v>
      </c>
      <c r="F13" s="21">
        <v>1</v>
      </c>
      <c r="G13" s="17">
        <v>50</v>
      </c>
      <c r="H13" s="17">
        <v>135</v>
      </c>
      <c r="I13" s="16">
        <v>163</v>
      </c>
      <c r="J13" s="18">
        <v>250</v>
      </c>
      <c r="K13" s="26">
        <v>10</v>
      </c>
      <c r="L13" s="26">
        <v>2</v>
      </c>
      <c r="M13" s="26">
        <v>0</v>
      </c>
      <c r="N13" s="26">
        <v>40</v>
      </c>
      <c r="O13" s="26">
        <v>8</v>
      </c>
      <c r="P13" s="26">
        <v>1</v>
      </c>
      <c r="Q13" s="26">
        <v>2</v>
      </c>
      <c r="R13" s="26">
        <v>0</v>
      </c>
      <c r="S13" s="26">
        <v>0</v>
      </c>
      <c r="T13" s="26">
        <v>0</v>
      </c>
      <c r="U13" s="26">
        <v>0</v>
      </c>
      <c r="V13" s="26">
        <v>1</v>
      </c>
      <c r="W13" s="26">
        <v>4</v>
      </c>
      <c r="X13" s="26">
        <v>0</v>
      </c>
      <c r="Y13" s="26">
        <v>0</v>
      </c>
      <c r="Z13" s="26">
        <v>0</v>
      </c>
      <c r="AA13" s="26">
        <v>79</v>
      </c>
      <c r="AB13" s="26">
        <v>4</v>
      </c>
      <c r="AC13" s="26">
        <v>1</v>
      </c>
      <c r="AD13" s="26">
        <v>0</v>
      </c>
      <c r="AE13" s="26">
        <v>9</v>
      </c>
      <c r="AF13" s="26">
        <v>0</v>
      </c>
      <c r="AG13" s="8">
        <f t="shared" si="0"/>
        <v>161</v>
      </c>
      <c r="AH13" s="26">
        <v>2</v>
      </c>
    </row>
    <row r="14" spans="1:34" ht="16.2" x14ac:dyDescent="0.4">
      <c r="A14" s="13" t="s">
        <v>14</v>
      </c>
      <c r="B14" s="14" t="s">
        <v>11</v>
      </c>
      <c r="C14" s="14" t="s">
        <v>27</v>
      </c>
      <c r="D14" s="3"/>
      <c r="E14" s="20">
        <v>162</v>
      </c>
      <c r="F14" s="21">
        <v>0</v>
      </c>
      <c r="G14" s="17">
        <v>47</v>
      </c>
      <c r="H14" s="17">
        <v>96</v>
      </c>
      <c r="I14" s="16">
        <v>106</v>
      </c>
      <c r="J14" s="18">
        <v>200</v>
      </c>
      <c r="K14" s="26">
        <v>7</v>
      </c>
      <c r="L14" s="26">
        <v>1</v>
      </c>
      <c r="M14" s="26">
        <v>0</v>
      </c>
      <c r="N14" s="26">
        <v>21</v>
      </c>
      <c r="O14" s="26">
        <v>7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1</v>
      </c>
      <c r="X14" s="26">
        <v>0</v>
      </c>
      <c r="Y14" s="26">
        <v>0</v>
      </c>
      <c r="Z14" s="26">
        <v>0</v>
      </c>
      <c r="AA14" s="26">
        <v>57</v>
      </c>
      <c r="AB14" s="26">
        <v>0</v>
      </c>
      <c r="AC14" s="26">
        <v>0</v>
      </c>
      <c r="AD14" s="26">
        <v>0</v>
      </c>
      <c r="AE14" s="26">
        <v>9</v>
      </c>
      <c r="AF14" s="26">
        <v>0</v>
      </c>
      <c r="AG14" s="8">
        <f t="shared" si="0"/>
        <v>103</v>
      </c>
      <c r="AH14" s="26">
        <v>3</v>
      </c>
    </row>
    <row r="15" spans="1:34" ht="16.2" x14ac:dyDescent="0.4">
      <c r="A15" s="13" t="s">
        <v>14</v>
      </c>
      <c r="B15" s="14" t="s">
        <v>11</v>
      </c>
      <c r="C15" s="14" t="s">
        <v>28</v>
      </c>
      <c r="D15" s="3"/>
      <c r="E15" s="20">
        <v>609</v>
      </c>
      <c r="F15" s="21">
        <v>4</v>
      </c>
      <c r="G15" s="17">
        <v>101</v>
      </c>
      <c r="H15" s="17">
        <v>302</v>
      </c>
      <c r="I15" s="16">
        <v>392</v>
      </c>
      <c r="J15" s="18">
        <v>550</v>
      </c>
      <c r="K15" s="26">
        <v>12</v>
      </c>
      <c r="L15" s="26">
        <v>1</v>
      </c>
      <c r="M15" s="26">
        <v>0</v>
      </c>
      <c r="N15" s="26">
        <v>150</v>
      </c>
      <c r="O15" s="26">
        <v>10</v>
      </c>
      <c r="P15" s="26">
        <v>0</v>
      </c>
      <c r="Q15" s="26">
        <v>2</v>
      </c>
      <c r="R15" s="26">
        <v>0</v>
      </c>
      <c r="S15" s="26">
        <v>0</v>
      </c>
      <c r="T15" s="26">
        <v>0</v>
      </c>
      <c r="U15" s="26">
        <v>0</v>
      </c>
      <c r="V15" s="26">
        <v>1</v>
      </c>
      <c r="W15" s="26">
        <v>17</v>
      </c>
      <c r="X15" s="26">
        <v>0</v>
      </c>
      <c r="Y15" s="26">
        <v>0</v>
      </c>
      <c r="Z15" s="26">
        <v>2</v>
      </c>
      <c r="AA15" s="26">
        <v>182</v>
      </c>
      <c r="AB15" s="26">
        <v>0</v>
      </c>
      <c r="AC15" s="26">
        <v>1</v>
      </c>
      <c r="AD15" s="26">
        <v>2</v>
      </c>
      <c r="AE15" s="26">
        <v>5</v>
      </c>
      <c r="AF15" s="26">
        <v>0</v>
      </c>
      <c r="AG15" s="8">
        <f t="shared" si="0"/>
        <v>385</v>
      </c>
      <c r="AH15" s="26">
        <v>6</v>
      </c>
    </row>
    <row r="16" spans="1:34" ht="16.2" x14ac:dyDescent="0.4">
      <c r="A16" s="13" t="s">
        <v>14</v>
      </c>
      <c r="B16" s="14" t="s">
        <v>11</v>
      </c>
      <c r="C16" s="14" t="s">
        <v>29</v>
      </c>
      <c r="D16" s="3"/>
      <c r="E16" s="20">
        <v>738</v>
      </c>
      <c r="F16" s="21">
        <v>3</v>
      </c>
      <c r="G16" s="17">
        <v>143</v>
      </c>
      <c r="H16" s="17">
        <v>385</v>
      </c>
      <c r="I16" s="16">
        <v>504</v>
      </c>
      <c r="J16" s="18">
        <v>700</v>
      </c>
      <c r="K16" s="26">
        <v>21</v>
      </c>
      <c r="L16" s="26">
        <v>9</v>
      </c>
      <c r="M16" s="26">
        <v>0</v>
      </c>
      <c r="N16" s="26">
        <v>185</v>
      </c>
      <c r="O16" s="26">
        <v>7</v>
      </c>
      <c r="P16" s="26">
        <v>3</v>
      </c>
      <c r="Q16" s="26">
        <v>1</v>
      </c>
      <c r="R16" s="26">
        <v>1</v>
      </c>
      <c r="S16" s="26">
        <v>0</v>
      </c>
      <c r="T16" s="26">
        <v>0</v>
      </c>
      <c r="U16" s="26">
        <v>0</v>
      </c>
      <c r="V16" s="26">
        <v>0</v>
      </c>
      <c r="W16" s="26">
        <v>18</v>
      </c>
      <c r="X16" s="26">
        <v>0</v>
      </c>
      <c r="Y16" s="26">
        <v>0</v>
      </c>
      <c r="Z16" s="26">
        <v>0</v>
      </c>
      <c r="AA16" s="26">
        <v>196</v>
      </c>
      <c r="AB16" s="26">
        <v>0</v>
      </c>
      <c r="AC16" s="26">
        <v>1</v>
      </c>
      <c r="AD16" s="26">
        <v>2</v>
      </c>
      <c r="AE16" s="26">
        <v>38</v>
      </c>
      <c r="AF16" s="26">
        <v>1</v>
      </c>
      <c r="AG16" s="8">
        <f t="shared" si="0"/>
        <v>483</v>
      </c>
      <c r="AH16" s="26">
        <v>20</v>
      </c>
    </row>
    <row r="17" spans="1:34" ht="16.2" x14ac:dyDescent="0.4">
      <c r="A17" s="13" t="s">
        <v>14</v>
      </c>
      <c r="B17" s="14" t="s">
        <v>11</v>
      </c>
      <c r="C17" s="14" t="s">
        <v>30</v>
      </c>
      <c r="D17" s="3"/>
      <c r="E17" s="20">
        <v>653</v>
      </c>
      <c r="F17" s="21">
        <v>0</v>
      </c>
      <c r="G17" s="17">
        <v>126</v>
      </c>
      <c r="H17" s="17">
        <v>345</v>
      </c>
      <c r="I17" s="16">
        <v>426</v>
      </c>
      <c r="J17" s="18">
        <v>600</v>
      </c>
      <c r="K17" s="26">
        <v>12</v>
      </c>
      <c r="L17" s="26">
        <v>2</v>
      </c>
      <c r="M17" s="26">
        <v>1</v>
      </c>
      <c r="N17" s="26">
        <v>163</v>
      </c>
      <c r="O17" s="26">
        <v>18</v>
      </c>
      <c r="P17" s="26">
        <v>3</v>
      </c>
      <c r="Q17" s="26">
        <v>0</v>
      </c>
      <c r="R17" s="26">
        <v>1</v>
      </c>
      <c r="S17" s="26">
        <v>0</v>
      </c>
      <c r="T17" s="26">
        <v>1</v>
      </c>
      <c r="U17" s="26">
        <v>0</v>
      </c>
      <c r="V17" s="26">
        <v>0</v>
      </c>
      <c r="W17" s="26">
        <v>9</v>
      </c>
      <c r="X17" s="26">
        <v>0</v>
      </c>
      <c r="Y17" s="26">
        <v>6</v>
      </c>
      <c r="Z17" s="26">
        <v>2</v>
      </c>
      <c r="AA17" s="26">
        <v>174</v>
      </c>
      <c r="AB17" s="26">
        <v>0</v>
      </c>
      <c r="AC17" s="26">
        <v>1</v>
      </c>
      <c r="AD17" s="26">
        <v>1</v>
      </c>
      <c r="AE17" s="26">
        <v>12</v>
      </c>
      <c r="AF17" s="26">
        <v>1</v>
      </c>
      <c r="AG17" s="8">
        <f t="shared" si="0"/>
        <v>407</v>
      </c>
      <c r="AH17" s="26">
        <v>19</v>
      </c>
    </row>
    <row r="18" spans="1:34" ht="16.2" x14ac:dyDescent="0.4">
      <c r="A18" s="13" t="s">
        <v>14</v>
      </c>
      <c r="B18" s="14" t="s">
        <v>11</v>
      </c>
      <c r="C18" s="14" t="s">
        <v>31</v>
      </c>
      <c r="D18" s="3"/>
      <c r="E18" s="20">
        <v>420</v>
      </c>
      <c r="F18" s="21">
        <v>0</v>
      </c>
      <c r="G18" s="17">
        <v>105</v>
      </c>
      <c r="H18" s="17">
        <v>255</v>
      </c>
      <c r="I18" s="16">
        <v>289</v>
      </c>
      <c r="J18" s="18">
        <v>450</v>
      </c>
      <c r="K18" s="26">
        <v>10</v>
      </c>
      <c r="L18" s="26">
        <v>1</v>
      </c>
      <c r="M18" s="26">
        <v>0</v>
      </c>
      <c r="N18" s="26">
        <v>96</v>
      </c>
      <c r="O18" s="26">
        <v>8</v>
      </c>
      <c r="P18" s="26">
        <v>5</v>
      </c>
      <c r="Q18" s="26">
        <v>1</v>
      </c>
      <c r="R18" s="26">
        <v>0</v>
      </c>
      <c r="S18" s="26">
        <v>1</v>
      </c>
      <c r="T18" s="26">
        <v>1</v>
      </c>
      <c r="U18" s="26">
        <v>0</v>
      </c>
      <c r="V18" s="26">
        <v>0</v>
      </c>
      <c r="W18" s="26">
        <v>2</v>
      </c>
      <c r="X18" s="26">
        <v>0</v>
      </c>
      <c r="Y18" s="26">
        <v>0</v>
      </c>
      <c r="Z18" s="26">
        <v>1</v>
      </c>
      <c r="AA18" s="26">
        <v>138</v>
      </c>
      <c r="AB18" s="26">
        <v>1</v>
      </c>
      <c r="AC18" s="26">
        <v>0</v>
      </c>
      <c r="AD18" s="26">
        <v>4</v>
      </c>
      <c r="AE18" s="26">
        <v>15</v>
      </c>
      <c r="AF18" s="26">
        <v>0</v>
      </c>
      <c r="AG18" s="8">
        <f t="shared" si="0"/>
        <v>284</v>
      </c>
      <c r="AH18" s="26">
        <v>5</v>
      </c>
    </row>
    <row r="19" spans="1:34" ht="16.2" x14ac:dyDescent="0.4">
      <c r="A19" s="13" t="s">
        <v>14</v>
      </c>
      <c r="B19" s="14" t="s">
        <v>11</v>
      </c>
      <c r="C19" s="14" t="s">
        <v>32</v>
      </c>
      <c r="D19" s="3"/>
      <c r="E19" s="20">
        <v>186</v>
      </c>
      <c r="F19" s="21">
        <v>1</v>
      </c>
      <c r="G19" s="17">
        <v>41</v>
      </c>
      <c r="H19" s="17">
        <v>119</v>
      </c>
      <c r="I19" s="16">
        <v>137</v>
      </c>
      <c r="J19" s="18">
        <v>200</v>
      </c>
      <c r="K19" s="26">
        <v>6</v>
      </c>
      <c r="L19" s="26">
        <v>0</v>
      </c>
      <c r="M19" s="26">
        <v>0</v>
      </c>
      <c r="N19" s="26">
        <v>44</v>
      </c>
      <c r="O19" s="26">
        <v>4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10</v>
      </c>
      <c r="X19" s="26">
        <v>0</v>
      </c>
      <c r="Y19" s="26">
        <v>0</v>
      </c>
      <c r="Z19" s="26">
        <v>0</v>
      </c>
      <c r="AA19" s="26">
        <v>68</v>
      </c>
      <c r="AB19" s="26">
        <v>0</v>
      </c>
      <c r="AC19" s="26">
        <v>0</v>
      </c>
      <c r="AD19" s="26">
        <v>0</v>
      </c>
      <c r="AE19" s="26">
        <v>4</v>
      </c>
      <c r="AF19" s="26">
        <v>0</v>
      </c>
      <c r="AG19" s="8">
        <f t="shared" si="0"/>
        <v>136</v>
      </c>
      <c r="AH19" s="26">
        <v>1</v>
      </c>
    </row>
    <row r="20" spans="1:34" ht="16.2" x14ac:dyDescent="0.4">
      <c r="A20" s="13" t="s">
        <v>14</v>
      </c>
      <c r="B20" s="14" t="s">
        <v>11</v>
      </c>
      <c r="C20" s="14" t="s">
        <v>33</v>
      </c>
      <c r="D20" s="3"/>
      <c r="E20" s="20">
        <v>90</v>
      </c>
      <c r="F20" s="21">
        <v>1</v>
      </c>
      <c r="G20" s="17">
        <v>35</v>
      </c>
      <c r="H20" s="17">
        <v>58</v>
      </c>
      <c r="I20" s="16">
        <v>62</v>
      </c>
      <c r="J20" s="18">
        <v>100</v>
      </c>
      <c r="K20" s="26">
        <v>2</v>
      </c>
      <c r="L20" s="26">
        <v>0</v>
      </c>
      <c r="M20" s="26">
        <v>0</v>
      </c>
      <c r="N20" s="26">
        <v>19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6</v>
      </c>
      <c r="X20" s="26">
        <v>0</v>
      </c>
      <c r="Y20" s="26">
        <v>0</v>
      </c>
      <c r="Z20" s="26">
        <v>0</v>
      </c>
      <c r="AA20" s="26">
        <v>28</v>
      </c>
      <c r="AB20" s="26">
        <v>1</v>
      </c>
      <c r="AC20" s="26">
        <v>1</v>
      </c>
      <c r="AD20" s="26">
        <v>2</v>
      </c>
      <c r="AE20" s="26">
        <v>1</v>
      </c>
      <c r="AF20" s="26">
        <v>0</v>
      </c>
      <c r="AG20" s="8">
        <f t="shared" si="0"/>
        <v>60</v>
      </c>
      <c r="AH20" s="26">
        <v>2</v>
      </c>
    </row>
    <row r="21" spans="1:34" ht="16.2" x14ac:dyDescent="0.4">
      <c r="A21" s="13" t="s">
        <v>14</v>
      </c>
      <c r="B21" s="14" t="s">
        <v>11</v>
      </c>
      <c r="C21" s="14" t="s">
        <v>34</v>
      </c>
      <c r="D21" s="3"/>
      <c r="E21" s="20">
        <v>358</v>
      </c>
      <c r="F21" s="21">
        <v>1</v>
      </c>
      <c r="G21" s="17">
        <v>72</v>
      </c>
      <c r="H21" s="17">
        <v>188</v>
      </c>
      <c r="I21" s="16">
        <v>237</v>
      </c>
      <c r="J21" s="18">
        <v>350</v>
      </c>
      <c r="K21" s="26">
        <v>5</v>
      </c>
      <c r="L21" s="26">
        <v>0</v>
      </c>
      <c r="M21" s="26">
        <v>1</v>
      </c>
      <c r="N21" s="26">
        <v>79</v>
      </c>
      <c r="O21" s="26">
        <v>9</v>
      </c>
      <c r="P21" s="26">
        <v>2</v>
      </c>
      <c r="Q21" s="26">
        <v>0</v>
      </c>
      <c r="R21" s="26">
        <v>0</v>
      </c>
      <c r="S21" s="26">
        <v>0</v>
      </c>
      <c r="T21" s="26">
        <v>1</v>
      </c>
      <c r="U21" s="26">
        <v>0</v>
      </c>
      <c r="V21" s="26">
        <v>0</v>
      </c>
      <c r="W21" s="26">
        <v>30</v>
      </c>
      <c r="X21" s="26">
        <v>0</v>
      </c>
      <c r="Y21" s="26">
        <v>0</v>
      </c>
      <c r="Z21" s="26">
        <v>0</v>
      </c>
      <c r="AA21" s="26">
        <v>78</v>
      </c>
      <c r="AB21" s="26">
        <v>1</v>
      </c>
      <c r="AC21" s="26">
        <v>0</v>
      </c>
      <c r="AD21" s="26">
        <v>0</v>
      </c>
      <c r="AE21" s="26">
        <v>2</v>
      </c>
      <c r="AF21" s="26">
        <v>0</v>
      </c>
      <c r="AG21" s="8">
        <f t="shared" si="0"/>
        <v>208</v>
      </c>
      <c r="AH21" s="26">
        <v>6</v>
      </c>
    </row>
    <row r="22" spans="1:34" ht="16.2" x14ac:dyDescent="0.4">
      <c r="A22" s="13" t="s">
        <v>14</v>
      </c>
      <c r="B22" s="14" t="s">
        <v>11</v>
      </c>
      <c r="C22" s="14" t="s">
        <v>35</v>
      </c>
      <c r="D22" s="3"/>
      <c r="E22" s="20">
        <v>220</v>
      </c>
      <c r="F22" s="21">
        <v>0</v>
      </c>
      <c r="G22" s="17">
        <v>52</v>
      </c>
      <c r="H22" s="17">
        <v>124</v>
      </c>
      <c r="I22" s="16">
        <v>159</v>
      </c>
      <c r="J22" s="18">
        <v>250</v>
      </c>
      <c r="K22" s="26">
        <v>11</v>
      </c>
      <c r="L22" s="26">
        <v>0</v>
      </c>
      <c r="M22" s="26">
        <v>1</v>
      </c>
      <c r="N22" s="26">
        <v>42</v>
      </c>
      <c r="O22" s="26">
        <v>7</v>
      </c>
      <c r="P22" s="26">
        <v>0</v>
      </c>
      <c r="Q22" s="26">
        <v>0</v>
      </c>
      <c r="R22" s="26">
        <v>0</v>
      </c>
      <c r="S22" s="26">
        <v>0</v>
      </c>
      <c r="T22" s="26">
        <v>1</v>
      </c>
      <c r="U22" s="26">
        <v>1</v>
      </c>
      <c r="V22" s="26">
        <v>0</v>
      </c>
      <c r="W22" s="26">
        <v>7</v>
      </c>
      <c r="X22" s="26">
        <v>0</v>
      </c>
      <c r="Y22" s="26">
        <v>0</v>
      </c>
      <c r="Z22" s="26">
        <v>0</v>
      </c>
      <c r="AA22" s="26">
        <v>74</v>
      </c>
      <c r="AB22" s="26">
        <v>0</v>
      </c>
      <c r="AC22" s="26">
        <v>0</v>
      </c>
      <c r="AD22" s="26">
        <v>1</v>
      </c>
      <c r="AE22" s="26">
        <v>10</v>
      </c>
      <c r="AF22" s="26">
        <v>0</v>
      </c>
      <c r="AG22" s="8">
        <f t="shared" si="0"/>
        <v>155</v>
      </c>
      <c r="AH22" s="26">
        <v>4</v>
      </c>
    </row>
    <row r="23" spans="1:34" ht="16.2" x14ac:dyDescent="0.4">
      <c r="A23" s="13" t="s">
        <v>14</v>
      </c>
      <c r="B23" s="14" t="s">
        <v>11</v>
      </c>
      <c r="C23" s="14" t="s">
        <v>36</v>
      </c>
      <c r="D23" s="3"/>
      <c r="E23" s="20">
        <v>130</v>
      </c>
      <c r="F23" s="21">
        <v>1</v>
      </c>
      <c r="G23" s="17">
        <v>52</v>
      </c>
      <c r="H23" s="17">
        <v>90</v>
      </c>
      <c r="I23" s="16">
        <v>99</v>
      </c>
      <c r="J23" s="18">
        <v>150</v>
      </c>
      <c r="K23" s="26">
        <v>4</v>
      </c>
      <c r="L23" s="26">
        <v>0</v>
      </c>
      <c r="M23" s="26">
        <v>0</v>
      </c>
      <c r="N23" s="26">
        <v>14</v>
      </c>
      <c r="O23" s="26">
        <v>11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4</v>
      </c>
      <c r="X23" s="26">
        <v>0</v>
      </c>
      <c r="Y23" s="26">
        <v>0</v>
      </c>
      <c r="Z23" s="26">
        <v>0</v>
      </c>
      <c r="AA23" s="26">
        <v>66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8">
        <f t="shared" si="0"/>
        <v>99</v>
      </c>
      <c r="AH23" s="26">
        <v>0</v>
      </c>
    </row>
    <row r="24" spans="1:34" ht="16.2" x14ac:dyDescent="0.4">
      <c r="A24" s="13" t="s">
        <v>14</v>
      </c>
      <c r="B24" s="14" t="s">
        <v>11</v>
      </c>
      <c r="C24" s="14" t="s">
        <v>37</v>
      </c>
      <c r="D24" s="3"/>
      <c r="E24" s="20">
        <v>480</v>
      </c>
      <c r="F24" s="21">
        <v>2</v>
      </c>
      <c r="G24" s="17">
        <v>108</v>
      </c>
      <c r="H24" s="17">
        <v>264</v>
      </c>
      <c r="I24" s="16">
        <v>327</v>
      </c>
      <c r="J24" s="18">
        <v>500</v>
      </c>
      <c r="K24" s="26">
        <v>16</v>
      </c>
      <c r="L24" s="26">
        <v>1</v>
      </c>
      <c r="M24" s="26">
        <v>0</v>
      </c>
      <c r="N24" s="26">
        <v>97</v>
      </c>
      <c r="O24" s="26">
        <v>12</v>
      </c>
      <c r="P24" s="26">
        <v>0</v>
      </c>
      <c r="Q24" s="26">
        <v>0</v>
      </c>
      <c r="R24" s="26">
        <v>5</v>
      </c>
      <c r="S24" s="26">
        <v>0</v>
      </c>
      <c r="T24" s="26">
        <v>1</v>
      </c>
      <c r="U24" s="26">
        <v>2</v>
      </c>
      <c r="V24" s="26">
        <v>0</v>
      </c>
      <c r="W24" s="26">
        <v>7</v>
      </c>
      <c r="X24" s="26">
        <v>0</v>
      </c>
      <c r="Y24" s="26">
        <v>0</v>
      </c>
      <c r="Z24" s="26">
        <v>3</v>
      </c>
      <c r="AA24" s="26">
        <v>165</v>
      </c>
      <c r="AB24" s="26">
        <v>3</v>
      </c>
      <c r="AC24" s="26">
        <v>0</v>
      </c>
      <c r="AD24" s="26">
        <v>0</v>
      </c>
      <c r="AE24" s="26">
        <v>4</v>
      </c>
      <c r="AF24" s="26">
        <v>1</v>
      </c>
      <c r="AG24" s="8">
        <f t="shared" si="0"/>
        <v>317</v>
      </c>
      <c r="AH24" s="26">
        <v>10</v>
      </c>
    </row>
    <row r="25" spans="1:34" ht="16.2" x14ac:dyDescent="0.4">
      <c r="A25" s="13" t="s">
        <v>14</v>
      </c>
      <c r="B25" s="14" t="s">
        <v>11</v>
      </c>
      <c r="C25" s="14" t="s">
        <v>38</v>
      </c>
      <c r="D25" s="3"/>
      <c r="E25" s="20">
        <v>195</v>
      </c>
      <c r="F25" s="21">
        <v>0</v>
      </c>
      <c r="G25" s="17">
        <v>52</v>
      </c>
      <c r="H25" s="17">
        <v>109</v>
      </c>
      <c r="I25" s="16">
        <v>131</v>
      </c>
      <c r="J25" s="18">
        <v>200</v>
      </c>
      <c r="K25" s="26">
        <v>3</v>
      </c>
      <c r="L25" s="26">
        <v>0</v>
      </c>
      <c r="M25" s="26">
        <v>0</v>
      </c>
      <c r="N25" s="26">
        <v>34</v>
      </c>
      <c r="O25" s="26">
        <v>9</v>
      </c>
      <c r="P25" s="26">
        <v>0</v>
      </c>
      <c r="Q25" s="26">
        <v>0</v>
      </c>
      <c r="R25" s="26">
        <v>0</v>
      </c>
      <c r="S25" s="26">
        <v>0</v>
      </c>
      <c r="T25" s="26">
        <v>1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3</v>
      </c>
      <c r="AA25" s="26">
        <v>75</v>
      </c>
      <c r="AB25" s="26">
        <v>0</v>
      </c>
      <c r="AC25" s="26">
        <v>0</v>
      </c>
      <c r="AD25" s="26">
        <v>0</v>
      </c>
      <c r="AE25" s="26">
        <v>3</v>
      </c>
      <c r="AF25" s="26">
        <v>0</v>
      </c>
      <c r="AG25" s="8">
        <f t="shared" si="0"/>
        <v>128</v>
      </c>
      <c r="AH25" s="26">
        <v>3</v>
      </c>
    </row>
    <row r="26" spans="1:34" ht="16.2" x14ac:dyDescent="0.4">
      <c r="A26" s="13" t="s">
        <v>14</v>
      </c>
      <c r="B26" s="14" t="s">
        <v>11</v>
      </c>
      <c r="C26" s="14" t="s">
        <v>39</v>
      </c>
      <c r="D26" s="3"/>
      <c r="E26" s="20">
        <v>265</v>
      </c>
      <c r="F26" s="21">
        <v>1</v>
      </c>
      <c r="G26" s="17">
        <v>62</v>
      </c>
      <c r="H26" s="17">
        <v>162</v>
      </c>
      <c r="I26" s="16">
        <v>176</v>
      </c>
      <c r="J26" s="18">
        <v>300</v>
      </c>
      <c r="K26" s="26">
        <v>32</v>
      </c>
      <c r="L26" s="26">
        <v>0</v>
      </c>
      <c r="M26" s="26">
        <v>0</v>
      </c>
      <c r="N26" s="26">
        <v>27</v>
      </c>
      <c r="O26" s="26">
        <v>10</v>
      </c>
      <c r="P26" s="26">
        <v>1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3</v>
      </c>
      <c r="X26" s="26">
        <v>0</v>
      </c>
      <c r="Y26" s="26">
        <v>1</v>
      </c>
      <c r="Z26" s="26">
        <v>0</v>
      </c>
      <c r="AA26" s="26">
        <v>82</v>
      </c>
      <c r="AB26" s="26">
        <v>0</v>
      </c>
      <c r="AC26" s="26">
        <v>0</v>
      </c>
      <c r="AD26" s="26">
        <v>0</v>
      </c>
      <c r="AE26" s="26">
        <v>19</v>
      </c>
      <c r="AF26" s="26">
        <v>0</v>
      </c>
      <c r="AG26" s="8">
        <f t="shared" si="0"/>
        <v>175</v>
      </c>
      <c r="AH26" s="26">
        <v>1</v>
      </c>
    </row>
    <row r="27" spans="1:34" ht="16.2" x14ac:dyDescent="0.4">
      <c r="A27" s="13" t="s">
        <v>14</v>
      </c>
      <c r="B27" s="14" t="s">
        <v>11</v>
      </c>
      <c r="C27" s="14" t="s">
        <v>40</v>
      </c>
      <c r="D27" s="3"/>
      <c r="E27" s="20">
        <v>229</v>
      </c>
      <c r="F27" s="21">
        <v>1</v>
      </c>
      <c r="G27" s="17">
        <v>52</v>
      </c>
      <c r="H27" s="17">
        <v>115</v>
      </c>
      <c r="I27" s="16">
        <v>147</v>
      </c>
      <c r="J27" s="18">
        <v>250</v>
      </c>
      <c r="K27" s="26">
        <v>4</v>
      </c>
      <c r="L27" s="26">
        <v>0</v>
      </c>
      <c r="M27" s="26">
        <v>0</v>
      </c>
      <c r="N27" s="26">
        <v>33</v>
      </c>
      <c r="O27" s="26">
        <v>22</v>
      </c>
      <c r="P27" s="26">
        <v>2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3</v>
      </c>
      <c r="X27" s="26">
        <v>0</v>
      </c>
      <c r="Y27" s="26">
        <v>0</v>
      </c>
      <c r="Z27" s="26">
        <v>0</v>
      </c>
      <c r="AA27" s="26">
        <v>76</v>
      </c>
      <c r="AB27" s="26">
        <v>0</v>
      </c>
      <c r="AC27" s="26">
        <v>0</v>
      </c>
      <c r="AD27" s="26">
        <v>0</v>
      </c>
      <c r="AE27" s="26">
        <v>2</v>
      </c>
      <c r="AF27" s="26">
        <v>0</v>
      </c>
      <c r="AG27" s="8">
        <f t="shared" si="0"/>
        <v>142</v>
      </c>
      <c r="AH27" s="26">
        <v>5</v>
      </c>
    </row>
    <row r="28" spans="1:34" ht="16.2" x14ac:dyDescent="0.4">
      <c r="A28" s="13" t="s">
        <v>14</v>
      </c>
      <c r="B28" s="14" t="s">
        <v>11</v>
      </c>
      <c r="C28" s="14" t="s">
        <v>41</v>
      </c>
      <c r="D28" s="3"/>
      <c r="E28" s="20">
        <v>266</v>
      </c>
      <c r="F28" s="21">
        <v>16</v>
      </c>
      <c r="G28" s="17">
        <v>90</v>
      </c>
      <c r="H28" s="17">
        <v>170</v>
      </c>
      <c r="I28" s="16">
        <v>189</v>
      </c>
      <c r="J28" s="18">
        <v>300</v>
      </c>
      <c r="K28" s="26">
        <v>7</v>
      </c>
      <c r="L28" s="26">
        <v>2</v>
      </c>
      <c r="M28" s="26">
        <v>0</v>
      </c>
      <c r="N28" s="26">
        <v>49</v>
      </c>
      <c r="O28" s="26">
        <v>14</v>
      </c>
      <c r="P28" s="26">
        <v>1</v>
      </c>
      <c r="Q28" s="26">
        <v>0</v>
      </c>
      <c r="R28" s="26">
        <v>0</v>
      </c>
      <c r="S28" s="26">
        <v>1</v>
      </c>
      <c r="T28" s="26">
        <v>0</v>
      </c>
      <c r="U28" s="26">
        <v>0</v>
      </c>
      <c r="V28" s="26">
        <v>0</v>
      </c>
      <c r="W28" s="26">
        <v>8</v>
      </c>
      <c r="X28" s="26">
        <v>1</v>
      </c>
      <c r="Y28" s="26">
        <v>0</v>
      </c>
      <c r="Z28" s="26">
        <v>1</v>
      </c>
      <c r="AA28" s="26">
        <v>101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8">
        <f t="shared" si="0"/>
        <v>185</v>
      </c>
      <c r="AH28" s="26">
        <v>3</v>
      </c>
    </row>
    <row r="29" spans="1:34" ht="16.2" x14ac:dyDescent="0.4">
      <c r="A29" s="13" t="s">
        <v>14</v>
      </c>
      <c r="B29" s="14" t="s">
        <v>11</v>
      </c>
      <c r="C29" s="14" t="s">
        <v>42</v>
      </c>
      <c r="D29" s="3"/>
      <c r="E29" s="20">
        <v>490</v>
      </c>
      <c r="F29" s="21">
        <v>0</v>
      </c>
      <c r="G29" s="17">
        <v>106</v>
      </c>
      <c r="H29" s="17">
        <v>240</v>
      </c>
      <c r="I29" s="16">
        <v>313</v>
      </c>
      <c r="J29" s="18">
        <v>500</v>
      </c>
      <c r="K29" s="26">
        <v>14</v>
      </c>
      <c r="L29" s="26">
        <v>1</v>
      </c>
      <c r="M29" s="26">
        <v>1</v>
      </c>
      <c r="N29" s="26">
        <v>57</v>
      </c>
      <c r="O29" s="26">
        <v>20</v>
      </c>
      <c r="P29" s="26">
        <v>3</v>
      </c>
      <c r="Q29" s="26">
        <v>1</v>
      </c>
      <c r="R29" s="26">
        <v>0</v>
      </c>
      <c r="S29" s="26">
        <v>0</v>
      </c>
      <c r="T29" s="26">
        <v>0</v>
      </c>
      <c r="U29" s="26">
        <v>1</v>
      </c>
      <c r="V29" s="26">
        <v>0</v>
      </c>
      <c r="W29" s="26">
        <v>10</v>
      </c>
      <c r="X29" s="26">
        <v>0</v>
      </c>
      <c r="Y29" s="26">
        <v>0</v>
      </c>
      <c r="Z29" s="26">
        <v>3</v>
      </c>
      <c r="AA29" s="26">
        <v>184</v>
      </c>
      <c r="AB29" s="26">
        <v>2</v>
      </c>
      <c r="AC29" s="26">
        <v>2</v>
      </c>
      <c r="AD29" s="26">
        <v>5</v>
      </c>
      <c r="AE29" s="26">
        <v>5</v>
      </c>
      <c r="AF29" s="26">
        <v>0</v>
      </c>
      <c r="AG29" s="8">
        <f t="shared" si="0"/>
        <v>309</v>
      </c>
      <c r="AH29" s="26">
        <v>4</v>
      </c>
    </row>
    <row r="30" spans="1:34" ht="16.2" x14ac:dyDescent="0.4">
      <c r="A30" s="13" t="s">
        <v>14</v>
      </c>
      <c r="B30" s="14" t="s">
        <v>11</v>
      </c>
      <c r="C30" s="14" t="s">
        <v>43</v>
      </c>
      <c r="D30" s="3"/>
      <c r="E30" s="20">
        <v>262</v>
      </c>
      <c r="F30" s="21">
        <v>2</v>
      </c>
      <c r="G30" s="17">
        <v>78</v>
      </c>
      <c r="H30" s="17">
        <v>178</v>
      </c>
      <c r="I30" s="16">
        <v>192</v>
      </c>
      <c r="J30" s="18">
        <v>300</v>
      </c>
      <c r="K30" s="26">
        <v>9</v>
      </c>
      <c r="L30" s="26">
        <v>0</v>
      </c>
      <c r="M30" s="26">
        <v>0</v>
      </c>
      <c r="N30" s="26">
        <v>31</v>
      </c>
      <c r="O30" s="26">
        <v>5</v>
      </c>
      <c r="P30" s="26">
        <v>4</v>
      </c>
      <c r="Q30" s="26">
        <v>0</v>
      </c>
      <c r="R30" s="26">
        <v>0</v>
      </c>
      <c r="S30" s="26">
        <v>0</v>
      </c>
      <c r="T30" s="26">
        <v>1</v>
      </c>
      <c r="U30" s="26">
        <v>0</v>
      </c>
      <c r="V30" s="26">
        <v>1</v>
      </c>
      <c r="W30" s="26">
        <v>9</v>
      </c>
      <c r="X30" s="26">
        <v>0</v>
      </c>
      <c r="Y30" s="26">
        <v>0</v>
      </c>
      <c r="Z30" s="26">
        <v>0</v>
      </c>
      <c r="AA30" s="26">
        <v>123</v>
      </c>
      <c r="AB30" s="26">
        <v>0</v>
      </c>
      <c r="AC30" s="26">
        <v>0</v>
      </c>
      <c r="AD30" s="26">
        <v>1</v>
      </c>
      <c r="AE30" s="26">
        <v>3</v>
      </c>
      <c r="AF30" s="26">
        <v>0</v>
      </c>
      <c r="AG30" s="8">
        <f t="shared" si="0"/>
        <v>187</v>
      </c>
      <c r="AH30" s="26">
        <v>5</v>
      </c>
    </row>
    <row r="31" spans="1:34" ht="16.2" x14ac:dyDescent="0.4">
      <c r="A31" s="13" t="s">
        <v>14</v>
      </c>
      <c r="B31" s="14" t="s">
        <v>11</v>
      </c>
      <c r="C31" s="14" t="s">
        <v>44</v>
      </c>
      <c r="D31" s="3"/>
      <c r="E31" s="20">
        <v>210</v>
      </c>
      <c r="F31" s="21">
        <v>16</v>
      </c>
      <c r="G31" s="17">
        <v>64</v>
      </c>
      <c r="H31" s="17">
        <v>140</v>
      </c>
      <c r="I31" s="16">
        <v>150</v>
      </c>
      <c r="J31" s="18">
        <v>250</v>
      </c>
      <c r="K31" s="26">
        <v>1</v>
      </c>
      <c r="L31" s="26">
        <v>0</v>
      </c>
      <c r="M31" s="26">
        <v>0</v>
      </c>
      <c r="N31" s="26">
        <v>25</v>
      </c>
      <c r="O31" s="26">
        <v>4</v>
      </c>
      <c r="P31" s="26">
        <v>0</v>
      </c>
      <c r="Q31" s="26">
        <v>0</v>
      </c>
      <c r="R31" s="26">
        <v>0</v>
      </c>
      <c r="S31" s="26">
        <v>1</v>
      </c>
      <c r="T31" s="26">
        <v>0</v>
      </c>
      <c r="U31" s="26">
        <v>0</v>
      </c>
      <c r="V31" s="26">
        <v>1</v>
      </c>
      <c r="W31" s="26">
        <v>5</v>
      </c>
      <c r="X31" s="26">
        <v>0</v>
      </c>
      <c r="Y31" s="26">
        <v>0</v>
      </c>
      <c r="Z31" s="26">
        <v>1</v>
      </c>
      <c r="AA31" s="26">
        <v>108</v>
      </c>
      <c r="AB31" s="26">
        <v>0</v>
      </c>
      <c r="AC31" s="26">
        <v>0</v>
      </c>
      <c r="AD31" s="26">
        <v>1</v>
      </c>
      <c r="AE31" s="26">
        <v>1</v>
      </c>
      <c r="AF31" s="26">
        <v>0</v>
      </c>
      <c r="AG31" s="8">
        <f t="shared" si="0"/>
        <v>148</v>
      </c>
      <c r="AH31" s="26">
        <v>2</v>
      </c>
    </row>
    <row r="32" spans="1:34" ht="16.2" x14ac:dyDescent="0.4">
      <c r="A32" s="13" t="s">
        <v>14</v>
      </c>
      <c r="B32" s="14" t="s">
        <v>11</v>
      </c>
      <c r="C32" s="14" t="s">
        <v>45</v>
      </c>
      <c r="D32" s="3"/>
      <c r="E32" s="20">
        <v>310</v>
      </c>
      <c r="F32" s="21">
        <v>1</v>
      </c>
      <c r="G32" s="17">
        <v>91</v>
      </c>
      <c r="H32" s="17">
        <v>215</v>
      </c>
      <c r="I32" s="16">
        <v>233</v>
      </c>
      <c r="J32" s="18">
        <v>350</v>
      </c>
      <c r="K32" s="26">
        <v>3</v>
      </c>
      <c r="L32" s="26">
        <v>1</v>
      </c>
      <c r="M32" s="26">
        <v>0</v>
      </c>
      <c r="N32" s="26">
        <v>71</v>
      </c>
      <c r="O32" s="26">
        <v>5</v>
      </c>
      <c r="P32" s="26">
        <v>0</v>
      </c>
      <c r="Q32" s="26">
        <v>0</v>
      </c>
      <c r="R32" s="26">
        <v>0</v>
      </c>
      <c r="S32" s="26">
        <v>1</v>
      </c>
      <c r="T32" s="26">
        <v>0</v>
      </c>
      <c r="U32" s="26">
        <v>1</v>
      </c>
      <c r="V32" s="26">
        <v>0</v>
      </c>
      <c r="W32" s="26">
        <v>11</v>
      </c>
      <c r="X32" s="26">
        <v>0</v>
      </c>
      <c r="Y32" s="26">
        <v>0</v>
      </c>
      <c r="Z32" s="26">
        <v>1</v>
      </c>
      <c r="AA32" s="26">
        <v>125</v>
      </c>
      <c r="AB32" s="26">
        <v>0</v>
      </c>
      <c r="AC32" s="26">
        <v>0</v>
      </c>
      <c r="AD32" s="26">
        <v>1</v>
      </c>
      <c r="AE32" s="26">
        <v>8</v>
      </c>
      <c r="AF32" s="26">
        <v>0</v>
      </c>
      <c r="AG32" s="8">
        <f t="shared" si="0"/>
        <v>228</v>
      </c>
      <c r="AH32" s="26">
        <v>5</v>
      </c>
    </row>
    <row r="33" spans="1:34" ht="16.2" x14ac:dyDescent="0.4">
      <c r="A33" s="13" t="s">
        <v>14</v>
      </c>
      <c r="B33" s="14" t="s">
        <v>11</v>
      </c>
      <c r="C33" s="14" t="s">
        <v>46</v>
      </c>
      <c r="D33" s="3"/>
      <c r="E33" s="20">
        <v>197</v>
      </c>
      <c r="F33" s="21">
        <v>2</v>
      </c>
      <c r="G33" s="17">
        <v>49</v>
      </c>
      <c r="H33" s="17">
        <v>116</v>
      </c>
      <c r="I33" s="16">
        <v>122</v>
      </c>
      <c r="J33" s="18">
        <v>200</v>
      </c>
      <c r="K33" s="26">
        <v>2</v>
      </c>
      <c r="L33" s="26">
        <v>0</v>
      </c>
      <c r="M33" s="26">
        <v>0</v>
      </c>
      <c r="N33" s="26">
        <v>34</v>
      </c>
      <c r="O33" s="26">
        <v>4</v>
      </c>
      <c r="P33" s="26">
        <v>1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6</v>
      </c>
      <c r="X33" s="26">
        <v>0</v>
      </c>
      <c r="Y33" s="26">
        <v>0</v>
      </c>
      <c r="Z33" s="26">
        <v>0</v>
      </c>
      <c r="AA33" s="26">
        <v>66</v>
      </c>
      <c r="AB33" s="26">
        <v>0</v>
      </c>
      <c r="AC33" s="26">
        <v>0</v>
      </c>
      <c r="AD33" s="26">
        <v>0</v>
      </c>
      <c r="AE33" s="26">
        <v>6</v>
      </c>
      <c r="AF33" s="26">
        <v>0</v>
      </c>
      <c r="AG33" s="8">
        <f t="shared" si="0"/>
        <v>119</v>
      </c>
      <c r="AH33" s="26">
        <v>2</v>
      </c>
    </row>
    <row r="34" spans="1:34" ht="16.2" x14ac:dyDescent="0.4">
      <c r="A34" s="13" t="s">
        <v>14</v>
      </c>
      <c r="B34" s="14" t="s">
        <v>11</v>
      </c>
      <c r="C34" s="14" t="s">
        <v>47</v>
      </c>
      <c r="D34" s="3"/>
      <c r="E34" s="20">
        <v>141</v>
      </c>
      <c r="F34" s="21">
        <v>2</v>
      </c>
      <c r="G34" s="17">
        <v>25</v>
      </c>
      <c r="H34" s="17">
        <v>56</v>
      </c>
      <c r="I34" s="16">
        <v>99</v>
      </c>
      <c r="J34" s="18">
        <v>150</v>
      </c>
      <c r="K34" s="26">
        <v>6</v>
      </c>
      <c r="L34" s="26">
        <v>0</v>
      </c>
      <c r="M34" s="26">
        <v>1</v>
      </c>
      <c r="N34" s="26">
        <v>22</v>
      </c>
      <c r="O34" s="26">
        <v>4</v>
      </c>
      <c r="P34" s="26">
        <v>0</v>
      </c>
      <c r="Q34" s="26">
        <v>0</v>
      </c>
      <c r="R34" s="26">
        <v>0</v>
      </c>
      <c r="S34" s="26">
        <v>1</v>
      </c>
      <c r="T34" s="26">
        <v>0</v>
      </c>
      <c r="U34" s="26">
        <v>0</v>
      </c>
      <c r="V34" s="26">
        <v>0</v>
      </c>
      <c r="W34" s="26">
        <v>3</v>
      </c>
      <c r="X34" s="26">
        <v>0</v>
      </c>
      <c r="Y34" s="26">
        <v>0</v>
      </c>
      <c r="Z34" s="26">
        <v>0</v>
      </c>
      <c r="AA34" s="26">
        <v>49</v>
      </c>
      <c r="AB34" s="26">
        <v>0</v>
      </c>
      <c r="AC34" s="26">
        <v>5</v>
      </c>
      <c r="AD34" s="26">
        <v>0</v>
      </c>
      <c r="AE34" s="26">
        <v>3</v>
      </c>
      <c r="AF34" s="26">
        <v>0</v>
      </c>
      <c r="AG34" s="8">
        <f t="shared" ref="AG34:AG51" si="1">SUM(K34:AF34)</f>
        <v>94</v>
      </c>
      <c r="AH34" s="26">
        <v>5</v>
      </c>
    </row>
    <row r="35" spans="1:34" ht="16.2" x14ac:dyDescent="0.4">
      <c r="A35" s="13" t="s">
        <v>14</v>
      </c>
      <c r="B35" s="14" t="s">
        <v>11</v>
      </c>
      <c r="C35" s="14" t="s">
        <v>48</v>
      </c>
      <c r="D35" s="3"/>
      <c r="E35" s="20">
        <v>252</v>
      </c>
      <c r="F35" s="21">
        <v>0</v>
      </c>
      <c r="G35" s="17">
        <v>52</v>
      </c>
      <c r="H35" s="17">
        <v>124</v>
      </c>
      <c r="I35" s="16">
        <v>182</v>
      </c>
      <c r="J35" s="18">
        <v>250</v>
      </c>
      <c r="K35" s="26">
        <v>8</v>
      </c>
      <c r="L35" s="26">
        <v>0</v>
      </c>
      <c r="M35" s="26">
        <v>2</v>
      </c>
      <c r="N35" s="26">
        <v>45</v>
      </c>
      <c r="O35" s="26">
        <v>6</v>
      </c>
      <c r="P35" s="26">
        <v>1</v>
      </c>
      <c r="Q35" s="26">
        <v>0</v>
      </c>
      <c r="R35" s="26">
        <v>0</v>
      </c>
      <c r="S35" s="26">
        <v>1</v>
      </c>
      <c r="T35" s="26">
        <v>0</v>
      </c>
      <c r="U35" s="26">
        <v>1</v>
      </c>
      <c r="V35" s="26">
        <v>0</v>
      </c>
      <c r="W35" s="26">
        <v>3</v>
      </c>
      <c r="X35" s="26">
        <v>0</v>
      </c>
      <c r="Y35" s="26">
        <v>0</v>
      </c>
      <c r="Z35" s="26">
        <v>0</v>
      </c>
      <c r="AA35" s="26">
        <v>98</v>
      </c>
      <c r="AB35" s="26">
        <v>1</v>
      </c>
      <c r="AC35" s="26">
        <v>1</v>
      </c>
      <c r="AD35" s="26">
        <v>1</v>
      </c>
      <c r="AE35" s="26">
        <v>8</v>
      </c>
      <c r="AF35" s="26">
        <v>2</v>
      </c>
      <c r="AG35" s="8">
        <f t="shared" si="1"/>
        <v>178</v>
      </c>
      <c r="AH35" s="26">
        <v>4</v>
      </c>
    </row>
    <row r="36" spans="1:34" ht="16.2" x14ac:dyDescent="0.4">
      <c r="A36" s="13" t="s">
        <v>14</v>
      </c>
      <c r="B36" s="14" t="s">
        <v>11</v>
      </c>
      <c r="C36" s="14" t="s">
        <v>49</v>
      </c>
      <c r="D36" s="3"/>
      <c r="E36" s="20">
        <v>192</v>
      </c>
      <c r="F36" s="21">
        <v>1</v>
      </c>
      <c r="G36" s="17">
        <v>43</v>
      </c>
      <c r="H36" s="17">
        <v>86</v>
      </c>
      <c r="I36" s="16">
        <v>103</v>
      </c>
      <c r="J36" s="18">
        <v>200</v>
      </c>
      <c r="K36" s="26">
        <v>0</v>
      </c>
      <c r="L36" s="26">
        <v>1</v>
      </c>
      <c r="M36" s="26">
        <v>0</v>
      </c>
      <c r="N36" s="26">
        <v>15</v>
      </c>
      <c r="O36" s="26">
        <v>9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76</v>
      </c>
      <c r="AB36" s="26">
        <v>0</v>
      </c>
      <c r="AC36" s="26">
        <v>0</v>
      </c>
      <c r="AD36" s="26">
        <v>0</v>
      </c>
      <c r="AE36" s="26">
        <v>2</v>
      </c>
      <c r="AF36" s="26">
        <v>0</v>
      </c>
      <c r="AG36" s="8">
        <f t="shared" si="1"/>
        <v>103</v>
      </c>
      <c r="AH36" s="26">
        <v>0</v>
      </c>
    </row>
    <row r="37" spans="1:34" ht="16.2" x14ac:dyDescent="0.4">
      <c r="A37" s="13" t="s">
        <v>14</v>
      </c>
      <c r="B37" s="14" t="s">
        <v>11</v>
      </c>
      <c r="C37" s="14" t="s">
        <v>50</v>
      </c>
      <c r="D37" s="3"/>
      <c r="E37" s="20">
        <v>323</v>
      </c>
      <c r="F37" s="21">
        <v>0</v>
      </c>
      <c r="G37" s="17">
        <v>62</v>
      </c>
      <c r="H37" s="17">
        <v>140</v>
      </c>
      <c r="I37" s="16">
        <v>181</v>
      </c>
      <c r="J37" s="18">
        <v>350</v>
      </c>
      <c r="K37" s="26">
        <v>1</v>
      </c>
      <c r="L37" s="26">
        <v>0</v>
      </c>
      <c r="M37" s="26">
        <v>0</v>
      </c>
      <c r="N37" s="26">
        <v>46</v>
      </c>
      <c r="O37" s="26">
        <v>5</v>
      </c>
      <c r="P37" s="26">
        <v>1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</v>
      </c>
      <c r="X37" s="26">
        <v>0</v>
      </c>
      <c r="Y37" s="26">
        <v>0</v>
      </c>
      <c r="Z37" s="26">
        <v>1</v>
      </c>
      <c r="AA37" s="26">
        <v>114</v>
      </c>
      <c r="AB37" s="26">
        <v>3</v>
      </c>
      <c r="AC37" s="26">
        <v>0</v>
      </c>
      <c r="AD37" s="26">
        <v>0</v>
      </c>
      <c r="AE37" s="26">
        <v>4</v>
      </c>
      <c r="AF37" s="26">
        <v>0</v>
      </c>
      <c r="AG37" s="8">
        <f t="shared" si="1"/>
        <v>176</v>
      </c>
      <c r="AH37" s="26">
        <v>5</v>
      </c>
    </row>
    <row r="38" spans="1:34" ht="16.2" x14ac:dyDescent="0.4">
      <c r="A38" s="13" t="s">
        <v>14</v>
      </c>
      <c r="B38" s="14" t="s">
        <v>11</v>
      </c>
      <c r="C38" s="14" t="s">
        <v>51</v>
      </c>
      <c r="D38" s="3"/>
      <c r="E38" s="20">
        <v>255</v>
      </c>
      <c r="F38" s="21">
        <v>1</v>
      </c>
      <c r="G38" s="17">
        <v>73</v>
      </c>
      <c r="H38" s="17">
        <v>123</v>
      </c>
      <c r="I38" s="16">
        <v>140</v>
      </c>
      <c r="J38" s="18">
        <v>300</v>
      </c>
      <c r="K38" s="26">
        <v>4</v>
      </c>
      <c r="L38" s="26">
        <v>0</v>
      </c>
      <c r="M38" s="26">
        <v>0</v>
      </c>
      <c r="N38" s="26">
        <v>40</v>
      </c>
      <c r="O38" s="26">
        <v>3</v>
      </c>
      <c r="P38" s="26">
        <v>0</v>
      </c>
      <c r="Q38" s="26">
        <v>1</v>
      </c>
      <c r="R38" s="26">
        <v>0</v>
      </c>
      <c r="S38" s="26">
        <v>1</v>
      </c>
      <c r="T38" s="26">
        <v>1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79</v>
      </c>
      <c r="AB38" s="26">
        <v>0</v>
      </c>
      <c r="AC38" s="26">
        <v>0</v>
      </c>
      <c r="AD38" s="26">
        <v>0</v>
      </c>
      <c r="AE38" s="26">
        <v>2</v>
      </c>
      <c r="AF38" s="26">
        <v>2</v>
      </c>
      <c r="AG38" s="8">
        <f t="shared" si="1"/>
        <v>133</v>
      </c>
      <c r="AH38" s="26">
        <v>7</v>
      </c>
    </row>
    <row r="39" spans="1:34" ht="16.2" x14ac:dyDescent="0.4">
      <c r="A39" s="13" t="s">
        <v>14</v>
      </c>
      <c r="B39" s="14" t="s">
        <v>11</v>
      </c>
      <c r="C39" s="14" t="s">
        <v>52</v>
      </c>
      <c r="D39" s="3"/>
      <c r="E39" s="20">
        <v>450</v>
      </c>
      <c r="F39" s="21">
        <v>4</v>
      </c>
      <c r="G39" s="17">
        <v>72</v>
      </c>
      <c r="H39" s="17">
        <v>194</v>
      </c>
      <c r="I39" s="16">
        <v>288</v>
      </c>
      <c r="J39" s="18">
        <v>450</v>
      </c>
      <c r="K39" s="26">
        <v>9</v>
      </c>
      <c r="L39" s="26">
        <v>1</v>
      </c>
      <c r="M39" s="26">
        <v>0</v>
      </c>
      <c r="N39" s="26">
        <v>97</v>
      </c>
      <c r="O39" s="26">
        <v>12</v>
      </c>
      <c r="P39" s="26">
        <v>4</v>
      </c>
      <c r="Q39" s="26">
        <v>0</v>
      </c>
      <c r="R39" s="26">
        <v>0</v>
      </c>
      <c r="S39" s="26">
        <v>15</v>
      </c>
      <c r="T39" s="26">
        <v>3</v>
      </c>
      <c r="U39" s="26">
        <v>4</v>
      </c>
      <c r="V39" s="26">
        <v>0</v>
      </c>
      <c r="W39" s="26">
        <v>9</v>
      </c>
      <c r="X39" s="26">
        <v>0</v>
      </c>
      <c r="Y39" s="26">
        <v>0</v>
      </c>
      <c r="Z39" s="26">
        <v>1</v>
      </c>
      <c r="AA39" s="26">
        <v>117</v>
      </c>
      <c r="AB39" s="26">
        <v>2</v>
      </c>
      <c r="AC39" s="26">
        <v>0</v>
      </c>
      <c r="AD39" s="26">
        <v>0</v>
      </c>
      <c r="AE39" s="26">
        <v>7</v>
      </c>
      <c r="AF39" s="26">
        <v>0</v>
      </c>
      <c r="AG39" s="8">
        <f t="shared" si="1"/>
        <v>281</v>
      </c>
      <c r="AH39" s="26">
        <v>7</v>
      </c>
    </row>
    <row r="40" spans="1:34" ht="16.2" x14ac:dyDescent="0.4">
      <c r="A40" s="13" t="s">
        <v>14</v>
      </c>
      <c r="B40" s="14" t="s">
        <v>11</v>
      </c>
      <c r="C40" s="14" t="s">
        <v>53</v>
      </c>
      <c r="D40" s="3"/>
      <c r="E40" s="20">
        <v>487</v>
      </c>
      <c r="F40" s="21">
        <v>1</v>
      </c>
      <c r="G40" s="17">
        <v>74</v>
      </c>
      <c r="H40" s="17">
        <v>233</v>
      </c>
      <c r="I40" s="16">
        <v>309</v>
      </c>
      <c r="J40" s="18">
        <v>500</v>
      </c>
      <c r="K40" s="26">
        <v>4</v>
      </c>
      <c r="L40" s="26">
        <v>0</v>
      </c>
      <c r="M40" s="26">
        <v>0</v>
      </c>
      <c r="N40" s="26">
        <v>86</v>
      </c>
      <c r="O40" s="26">
        <v>18</v>
      </c>
      <c r="P40" s="26">
        <v>1</v>
      </c>
      <c r="Q40" s="26">
        <v>3</v>
      </c>
      <c r="R40" s="26">
        <v>0</v>
      </c>
      <c r="S40" s="26">
        <v>4</v>
      </c>
      <c r="T40" s="26">
        <v>1</v>
      </c>
      <c r="U40" s="26">
        <v>2</v>
      </c>
      <c r="V40" s="26">
        <v>1</v>
      </c>
      <c r="W40" s="26">
        <v>7</v>
      </c>
      <c r="X40" s="26">
        <v>0</v>
      </c>
      <c r="Y40" s="26">
        <v>0</v>
      </c>
      <c r="Z40" s="26">
        <v>1</v>
      </c>
      <c r="AA40" s="26">
        <v>148</v>
      </c>
      <c r="AB40" s="26">
        <v>0</v>
      </c>
      <c r="AC40" s="26">
        <v>10</v>
      </c>
      <c r="AD40" s="26">
        <v>1</v>
      </c>
      <c r="AE40" s="26">
        <v>14</v>
      </c>
      <c r="AF40" s="26">
        <v>0</v>
      </c>
      <c r="AG40" s="8">
        <f t="shared" si="1"/>
        <v>301</v>
      </c>
      <c r="AH40" s="26">
        <v>8</v>
      </c>
    </row>
    <row r="41" spans="1:34" ht="16.2" x14ac:dyDescent="0.4">
      <c r="A41" s="13" t="s">
        <v>14</v>
      </c>
      <c r="B41" s="14" t="s">
        <v>11</v>
      </c>
      <c r="C41" s="14" t="s">
        <v>54</v>
      </c>
      <c r="D41" s="3"/>
      <c r="E41" s="20">
        <v>265</v>
      </c>
      <c r="F41" s="21">
        <v>1</v>
      </c>
      <c r="G41" s="17">
        <v>55</v>
      </c>
      <c r="H41" s="17">
        <v>131</v>
      </c>
      <c r="I41" s="16">
        <v>163</v>
      </c>
      <c r="J41" s="18">
        <v>300</v>
      </c>
      <c r="K41" s="26">
        <v>7</v>
      </c>
      <c r="L41" s="26">
        <v>0</v>
      </c>
      <c r="M41" s="26">
        <v>0</v>
      </c>
      <c r="N41" s="26">
        <v>38</v>
      </c>
      <c r="O41" s="26">
        <v>8</v>
      </c>
      <c r="P41" s="26">
        <v>0</v>
      </c>
      <c r="Q41" s="26">
        <v>0</v>
      </c>
      <c r="R41" s="26">
        <v>0</v>
      </c>
      <c r="S41" s="26">
        <v>7</v>
      </c>
      <c r="T41" s="26">
        <v>0</v>
      </c>
      <c r="U41" s="26">
        <v>0</v>
      </c>
      <c r="V41" s="26">
        <v>0</v>
      </c>
      <c r="W41" s="26">
        <v>1</v>
      </c>
      <c r="X41" s="26">
        <v>0</v>
      </c>
      <c r="Y41" s="26">
        <v>0</v>
      </c>
      <c r="Z41" s="26">
        <v>0</v>
      </c>
      <c r="AA41" s="26">
        <v>96</v>
      </c>
      <c r="AB41" s="26">
        <v>0</v>
      </c>
      <c r="AC41" s="26">
        <v>1</v>
      </c>
      <c r="AD41" s="26">
        <v>0</v>
      </c>
      <c r="AE41" s="26">
        <v>1</v>
      </c>
      <c r="AF41" s="26">
        <v>0</v>
      </c>
      <c r="AG41" s="8">
        <f t="shared" si="1"/>
        <v>159</v>
      </c>
      <c r="AH41" s="26">
        <v>4</v>
      </c>
    </row>
    <row r="42" spans="1:34" ht="16.2" x14ac:dyDescent="0.4">
      <c r="A42" s="13" t="s">
        <v>14</v>
      </c>
      <c r="B42" s="14" t="s">
        <v>11</v>
      </c>
      <c r="C42" s="14" t="s">
        <v>55</v>
      </c>
      <c r="D42" s="3"/>
      <c r="E42" s="20">
        <v>371</v>
      </c>
      <c r="F42" s="21">
        <v>0</v>
      </c>
      <c r="G42" s="17">
        <v>75</v>
      </c>
      <c r="H42" s="17">
        <v>214</v>
      </c>
      <c r="I42" s="16">
        <v>257</v>
      </c>
      <c r="J42" s="18">
        <v>400</v>
      </c>
      <c r="K42" s="26">
        <v>21</v>
      </c>
      <c r="L42" s="26">
        <v>0</v>
      </c>
      <c r="M42" s="26">
        <v>0</v>
      </c>
      <c r="N42" s="26">
        <v>121</v>
      </c>
      <c r="O42" s="26">
        <v>10</v>
      </c>
      <c r="P42" s="26">
        <v>1</v>
      </c>
      <c r="Q42" s="26">
        <v>0</v>
      </c>
      <c r="R42" s="26">
        <v>0</v>
      </c>
      <c r="S42" s="26">
        <v>0</v>
      </c>
      <c r="T42" s="26">
        <v>1</v>
      </c>
      <c r="U42" s="26">
        <v>1</v>
      </c>
      <c r="V42" s="26">
        <v>0</v>
      </c>
      <c r="W42" s="26">
        <v>4</v>
      </c>
      <c r="X42" s="26">
        <v>0</v>
      </c>
      <c r="Y42" s="26">
        <v>0</v>
      </c>
      <c r="Z42" s="26">
        <v>1</v>
      </c>
      <c r="AA42" s="26">
        <v>89</v>
      </c>
      <c r="AB42" s="26">
        <v>0</v>
      </c>
      <c r="AC42" s="26">
        <v>0</v>
      </c>
      <c r="AD42" s="26">
        <v>1</v>
      </c>
      <c r="AE42" s="26">
        <v>5</v>
      </c>
      <c r="AF42" s="26">
        <v>0</v>
      </c>
      <c r="AG42" s="8">
        <f t="shared" si="1"/>
        <v>255</v>
      </c>
      <c r="AH42" s="26">
        <v>2</v>
      </c>
    </row>
    <row r="43" spans="1:34" ht="16.2" x14ac:dyDescent="0.4">
      <c r="A43" s="13" t="s">
        <v>14</v>
      </c>
      <c r="B43" s="14" t="s">
        <v>11</v>
      </c>
      <c r="C43" s="14" t="s">
        <v>56</v>
      </c>
      <c r="D43" s="3"/>
      <c r="E43" s="20">
        <v>369</v>
      </c>
      <c r="F43" s="21">
        <v>1</v>
      </c>
      <c r="G43" s="17">
        <v>61</v>
      </c>
      <c r="H43" s="17">
        <v>181</v>
      </c>
      <c r="I43" s="16">
        <v>242</v>
      </c>
      <c r="J43" s="18">
        <v>400</v>
      </c>
      <c r="K43" s="26">
        <v>26</v>
      </c>
      <c r="L43" s="26">
        <v>0</v>
      </c>
      <c r="M43" s="26">
        <v>0</v>
      </c>
      <c r="N43" s="26">
        <v>63</v>
      </c>
      <c r="O43" s="26">
        <v>15</v>
      </c>
      <c r="P43" s="26">
        <v>2</v>
      </c>
      <c r="Q43" s="26">
        <v>2</v>
      </c>
      <c r="R43" s="26">
        <v>0</v>
      </c>
      <c r="S43" s="26">
        <v>0</v>
      </c>
      <c r="T43" s="26">
        <v>0</v>
      </c>
      <c r="U43" s="26">
        <v>10</v>
      </c>
      <c r="V43" s="26">
        <v>0</v>
      </c>
      <c r="W43" s="26">
        <v>5</v>
      </c>
      <c r="X43" s="26">
        <v>0</v>
      </c>
      <c r="Y43" s="26">
        <v>0</v>
      </c>
      <c r="Z43" s="26">
        <v>0</v>
      </c>
      <c r="AA43" s="26">
        <v>105</v>
      </c>
      <c r="AB43" s="26">
        <v>0</v>
      </c>
      <c r="AC43" s="26">
        <v>0</v>
      </c>
      <c r="AD43" s="26">
        <v>0</v>
      </c>
      <c r="AE43" s="26">
        <v>5</v>
      </c>
      <c r="AF43" s="26">
        <v>0</v>
      </c>
      <c r="AG43" s="8">
        <f t="shared" si="1"/>
        <v>233</v>
      </c>
      <c r="AH43" s="26">
        <v>8</v>
      </c>
    </row>
    <row r="44" spans="1:34" ht="16.2" x14ac:dyDescent="0.4">
      <c r="A44" s="13" t="s">
        <v>14</v>
      </c>
      <c r="B44" s="14" t="s">
        <v>11</v>
      </c>
      <c r="C44" s="14" t="s">
        <v>57</v>
      </c>
      <c r="D44" s="3"/>
      <c r="E44" s="20">
        <v>416</v>
      </c>
      <c r="F44" s="21">
        <v>0</v>
      </c>
      <c r="G44" s="17">
        <v>64</v>
      </c>
      <c r="H44" s="17">
        <v>227</v>
      </c>
      <c r="I44" s="16">
        <v>289</v>
      </c>
      <c r="J44" s="18">
        <v>450</v>
      </c>
      <c r="K44" s="26">
        <v>5</v>
      </c>
      <c r="L44" s="26">
        <v>0</v>
      </c>
      <c r="M44" s="26">
        <v>0</v>
      </c>
      <c r="N44" s="26">
        <v>103</v>
      </c>
      <c r="O44" s="26">
        <v>9</v>
      </c>
      <c r="P44" s="26">
        <v>1</v>
      </c>
      <c r="Q44" s="26">
        <v>0</v>
      </c>
      <c r="R44" s="26">
        <v>1</v>
      </c>
      <c r="S44" s="26">
        <v>1</v>
      </c>
      <c r="T44" s="26">
        <v>0</v>
      </c>
      <c r="U44" s="26">
        <v>2</v>
      </c>
      <c r="V44" s="26">
        <v>0</v>
      </c>
      <c r="W44" s="26">
        <v>1</v>
      </c>
      <c r="X44" s="26">
        <v>1</v>
      </c>
      <c r="Y44" s="26">
        <v>0</v>
      </c>
      <c r="Z44" s="26">
        <v>0</v>
      </c>
      <c r="AA44" s="26">
        <v>151</v>
      </c>
      <c r="AB44" s="26">
        <v>1</v>
      </c>
      <c r="AC44" s="26">
        <v>0</v>
      </c>
      <c r="AD44" s="26">
        <v>0</v>
      </c>
      <c r="AE44" s="26">
        <v>6</v>
      </c>
      <c r="AF44" s="26">
        <v>0</v>
      </c>
      <c r="AG44" s="8">
        <f t="shared" si="1"/>
        <v>282</v>
      </c>
      <c r="AH44" s="26">
        <v>7</v>
      </c>
    </row>
    <row r="45" spans="1:34" ht="16.2" x14ac:dyDescent="0.4">
      <c r="A45" s="13" t="s">
        <v>14</v>
      </c>
      <c r="B45" s="14" t="s">
        <v>11</v>
      </c>
      <c r="C45" s="14" t="s">
        <v>58</v>
      </c>
      <c r="D45" s="3"/>
      <c r="E45" s="20">
        <v>161</v>
      </c>
      <c r="F45" s="21">
        <v>0</v>
      </c>
      <c r="G45" s="17">
        <v>46</v>
      </c>
      <c r="H45" s="17">
        <v>105</v>
      </c>
      <c r="I45" s="16">
        <v>121</v>
      </c>
      <c r="J45" s="18">
        <v>200</v>
      </c>
      <c r="K45" s="26">
        <v>3</v>
      </c>
      <c r="L45" s="26">
        <v>1</v>
      </c>
      <c r="M45" s="26">
        <v>0</v>
      </c>
      <c r="N45" s="26">
        <v>45</v>
      </c>
      <c r="O45" s="26">
        <v>11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2</v>
      </c>
      <c r="V45" s="26">
        <v>0</v>
      </c>
      <c r="W45" s="26">
        <v>7</v>
      </c>
      <c r="X45" s="26">
        <v>0</v>
      </c>
      <c r="Y45" s="26">
        <v>0</v>
      </c>
      <c r="Z45" s="26">
        <v>0</v>
      </c>
      <c r="AA45" s="26">
        <v>50</v>
      </c>
      <c r="AB45" s="26">
        <v>0</v>
      </c>
      <c r="AC45" s="26">
        <v>0</v>
      </c>
      <c r="AD45" s="26">
        <v>0</v>
      </c>
      <c r="AE45" s="26">
        <v>1</v>
      </c>
      <c r="AF45" s="26">
        <v>0</v>
      </c>
      <c r="AG45" s="8">
        <f t="shared" si="1"/>
        <v>120</v>
      </c>
      <c r="AH45" s="26">
        <v>1</v>
      </c>
    </row>
    <row r="46" spans="1:34" ht="16.2" x14ac:dyDescent="0.4">
      <c r="A46" s="13" t="s">
        <v>14</v>
      </c>
      <c r="B46" s="14" t="s">
        <v>11</v>
      </c>
      <c r="C46" s="14" t="s">
        <v>59</v>
      </c>
      <c r="D46" s="3"/>
      <c r="E46" s="20">
        <v>269</v>
      </c>
      <c r="F46" s="21">
        <v>0</v>
      </c>
      <c r="G46" s="17">
        <v>36</v>
      </c>
      <c r="H46" s="17">
        <v>145</v>
      </c>
      <c r="I46" s="16">
        <v>187</v>
      </c>
      <c r="J46" s="18">
        <v>300</v>
      </c>
      <c r="K46" s="26">
        <v>5</v>
      </c>
      <c r="L46" s="26">
        <v>0</v>
      </c>
      <c r="M46" s="26">
        <v>0</v>
      </c>
      <c r="N46" s="26">
        <v>68</v>
      </c>
      <c r="O46" s="26">
        <v>10</v>
      </c>
      <c r="P46" s="26">
        <v>1</v>
      </c>
      <c r="Q46" s="26">
        <v>0</v>
      </c>
      <c r="R46" s="26">
        <v>0</v>
      </c>
      <c r="S46" s="26">
        <v>1</v>
      </c>
      <c r="T46" s="26">
        <v>1</v>
      </c>
      <c r="U46" s="26">
        <v>0</v>
      </c>
      <c r="V46" s="26">
        <v>0</v>
      </c>
      <c r="W46" s="26">
        <v>5</v>
      </c>
      <c r="X46" s="26">
        <v>0</v>
      </c>
      <c r="Y46" s="26">
        <v>0</v>
      </c>
      <c r="Z46" s="26">
        <v>0</v>
      </c>
      <c r="AA46" s="26">
        <v>77</v>
      </c>
      <c r="AB46" s="26">
        <v>4</v>
      </c>
      <c r="AC46" s="26">
        <v>1</v>
      </c>
      <c r="AD46" s="26">
        <v>0</v>
      </c>
      <c r="AE46" s="26">
        <v>8</v>
      </c>
      <c r="AF46" s="26">
        <v>1</v>
      </c>
      <c r="AG46" s="8">
        <f t="shared" si="1"/>
        <v>182</v>
      </c>
      <c r="AH46" s="26">
        <v>5</v>
      </c>
    </row>
    <row r="47" spans="1:34" ht="16.2" x14ac:dyDescent="0.4">
      <c r="A47" s="13" t="s">
        <v>14</v>
      </c>
      <c r="B47" s="14" t="s">
        <v>11</v>
      </c>
      <c r="C47" s="14" t="s">
        <v>60</v>
      </c>
      <c r="D47" s="3"/>
      <c r="E47" s="20">
        <v>282</v>
      </c>
      <c r="F47" s="21">
        <v>4</v>
      </c>
      <c r="G47" s="17">
        <v>62</v>
      </c>
      <c r="H47" s="17">
        <v>190</v>
      </c>
      <c r="I47" s="16">
        <v>211</v>
      </c>
      <c r="J47" s="18">
        <v>300</v>
      </c>
      <c r="K47" s="26">
        <v>4</v>
      </c>
      <c r="L47" s="26">
        <v>0</v>
      </c>
      <c r="M47" s="26">
        <v>0</v>
      </c>
      <c r="N47" s="26">
        <v>47</v>
      </c>
      <c r="O47" s="26">
        <v>10</v>
      </c>
      <c r="P47" s="26">
        <v>3</v>
      </c>
      <c r="Q47" s="26">
        <v>1</v>
      </c>
      <c r="R47" s="26">
        <v>0</v>
      </c>
      <c r="S47" s="26">
        <v>0</v>
      </c>
      <c r="T47" s="26">
        <v>1</v>
      </c>
      <c r="U47" s="26">
        <v>0</v>
      </c>
      <c r="V47" s="26">
        <v>1</v>
      </c>
      <c r="W47" s="26">
        <v>4</v>
      </c>
      <c r="X47" s="26">
        <v>0</v>
      </c>
      <c r="Y47" s="26">
        <v>1</v>
      </c>
      <c r="Z47" s="26">
        <v>1</v>
      </c>
      <c r="AA47" s="26">
        <v>123</v>
      </c>
      <c r="AB47" s="26">
        <v>1</v>
      </c>
      <c r="AC47" s="26">
        <v>0</v>
      </c>
      <c r="AD47" s="26">
        <v>1</v>
      </c>
      <c r="AE47" s="26">
        <v>3</v>
      </c>
      <c r="AF47" s="26">
        <v>1</v>
      </c>
      <c r="AG47" s="8">
        <f t="shared" si="1"/>
        <v>202</v>
      </c>
      <c r="AH47" s="26">
        <v>9</v>
      </c>
    </row>
    <row r="48" spans="1:34" ht="16.2" x14ac:dyDescent="0.4">
      <c r="A48" s="13" t="s">
        <v>14</v>
      </c>
      <c r="B48" s="14" t="s">
        <v>11</v>
      </c>
      <c r="C48" s="14" t="s">
        <v>61</v>
      </c>
      <c r="D48" s="3"/>
      <c r="E48" s="20">
        <v>202</v>
      </c>
      <c r="F48" s="21">
        <v>1</v>
      </c>
      <c r="G48" s="17">
        <v>51</v>
      </c>
      <c r="H48" s="17">
        <v>124</v>
      </c>
      <c r="I48" s="16">
        <v>153</v>
      </c>
      <c r="J48" s="18">
        <v>200</v>
      </c>
      <c r="K48" s="26">
        <v>6</v>
      </c>
      <c r="L48" s="26">
        <v>0</v>
      </c>
      <c r="M48" s="26">
        <v>0</v>
      </c>
      <c r="N48" s="26">
        <v>46</v>
      </c>
      <c r="O48" s="26">
        <v>7</v>
      </c>
      <c r="P48" s="26">
        <v>0</v>
      </c>
      <c r="Q48" s="26">
        <v>0</v>
      </c>
      <c r="R48" s="26">
        <v>0</v>
      </c>
      <c r="S48" s="26">
        <v>3</v>
      </c>
      <c r="T48" s="26">
        <v>0</v>
      </c>
      <c r="U48" s="26">
        <v>0</v>
      </c>
      <c r="V48" s="26">
        <v>0</v>
      </c>
      <c r="W48" s="26">
        <v>3</v>
      </c>
      <c r="X48" s="26">
        <v>0</v>
      </c>
      <c r="Y48" s="26">
        <v>0</v>
      </c>
      <c r="Z48" s="26">
        <v>0</v>
      </c>
      <c r="AA48" s="26">
        <v>79</v>
      </c>
      <c r="AB48" s="26">
        <v>1</v>
      </c>
      <c r="AC48" s="26">
        <v>0</v>
      </c>
      <c r="AD48" s="26">
        <v>0</v>
      </c>
      <c r="AE48" s="26">
        <v>4</v>
      </c>
      <c r="AF48" s="26">
        <v>0</v>
      </c>
      <c r="AG48" s="8">
        <f t="shared" si="1"/>
        <v>149</v>
      </c>
      <c r="AH48" s="26">
        <v>4</v>
      </c>
    </row>
    <row r="49" spans="1:34" ht="16.2" x14ac:dyDescent="0.4">
      <c r="A49" s="13" t="s">
        <v>14</v>
      </c>
      <c r="B49" s="14" t="s">
        <v>11</v>
      </c>
      <c r="C49" s="14" t="s">
        <v>62</v>
      </c>
      <c r="D49" s="3"/>
      <c r="E49" s="20">
        <v>214</v>
      </c>
      <c r="F49" s="21">
        <v>2</v>
      </c>
      <c r="G49" s="17">
        <v>44</v>
      </c>
      <c r="H49" s="17">
        <v>120</v>
      </c>
      <c r="I49" s="16">
        <v>173</v>
      </c>
      <c r="J49" s="18">
        <v>250</v>
      </c>
      <c r="K49" s="26">
        <v>12</v>
      </c>
      <c r="L49" s="26">
        <v>0</v>
      </c>
      <c r="M49" s="26">
        <v>0</v>
      </c>
      <c r="N49" s="26">
        <v>61</v>
      </c>
      <c r="O49" s="26">
        <v>7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6</v>
      </c>
      <c r="X49" s="26">
        <v>0</v>
      </c>
      <c r="Y49" s="26">
        <v>0</v>
      </c>
      <c r="Z49" s="26">
        <v>0</v>
      </c>
      <c r="AA49" s="26">
        <v>57</v>
      </c>
      <c r="AB49" s="26">
        <v>1</v>
      </c>
      <c r="AC49" s="26">
        <v>0</v>
      </c>
      <c r="AD49" s="26">
        <v>0</v>
      </c>
      <c r="AE49" s="26">
        <v>10</v>
      </c>
      <c r="AF49" s="26">
        <v>0</v>
      </c>
      <c r="AG49" s="8">
        <f t="shared" si="1"/>
        <v>154</v>
      </c>
      <c r="AH49" s="26">
        <v>18</v>
      </c>
    </row>
    <row r="50" spans="1:34" ht="16.2" x14ac:dyDescent="0.4">
      <c r="A50" s="13" t="s">
        <v>14</v>
      </c>
      <c r="B50" s="14" t="s">
        <v>11</v>
      </c>
      <c r="C50" s="14" t="s">
        <v>63</v>
      </c>
      <c r="D50" s="3"/>
      <c r="E50" s="20">
        <v>103</v>
      </c>
      <c r="F50" s="21">
        <v>1</v>
      </c>
      <c r="G50" s="17">
        <v>25</v>
      </c>
      <c r="H50" s="17">
        <v>56</v>
      </c>
      <c r="I50" s="16">
        <v>61</v>
      </c>
      <c r="J50" s="18">
        <v>100</v>
      </c>
      <c r="K50" s="26">
        <v>2</v>
      </c>
      <c r="L50" s="26">
        <v>0</v>
      </c>
      <c r="M50" s="26">
        <v>0</v>
      </c>
      <c r="N50" s="26">
        <v>17</v>
      </c>
      <c r="O50" s="26">
        <v>9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2</v>
      </c>
      <c r="X50" s="26">
        <v>0</v>
      </c>
      <c r="Y50" s="26">
        <v>0</v>
      </c>
      <c r="Z50" s="26">
        <v>0</v>
      </c>
      <c r="AA50" s="26">
        <v>23</v>
      </c>
      <c r="AB50" s="26">
        <v>0</v>
      </c>
      <c r="AC50" s="26">
        <v>0</v>
      </c>
      <c r="AD50" s="26">
        <v>0</v>
      </c>
      <c r="AE50" s="26">
        <v>7</v>
      </c>
      <c r="AF50" s="26">
        <v>0</v>
      </c>
      <c r="AG50" s="8">
        <f t="shared" si="1"/>
        <v>60</v>
      </c>
      <c r="AH50" s="26">
        <v>1</v>
      </c>
    </row>
    <row r="51" spans="1:34" ht="16.2" x14ac:dyDescent="0.4">
      <c r="A51" s="13" t="s">
        <v>14</v>
      </c>
      <c r="B51" s="14" t="s">
        <v>11</v>
      </c>
      <c r="C51" s="14" t="s">
        <v>85</v>
      </c>
      <c r="D51" s="3"/>
      <c r="E51" s="8"/>
      <c r="F51" s="15">
        <v>25</v>
      </c>
      <c r="G51" s="4"/>
      <c r="H51" s="4"/>
      <c r="I51" s="16">
        <v>19</v>
      </c>
      <c r="J51" s="24">
        <v>50</v>
      </c>
      <c r="K51" s="26">
        <v>1</v>
      </c>
      <c r="L51" s="26">
        <v>0</v>
      </c>
      <c r="M51" s="26">
        <v>0</v>
      </c>
      <c r="N51" s="26">
        <v>3</v>
      </c>
      <c r="O51" s="26">
        <v>1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13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8">
        <f t="shared" si="1"/>
        <v>18</v>
      </c>
      <c r="AH51" s="26">
        <v>1</v>
      </c>
    </row>
    <row r="52" spans="1:34" s="12" customFormat="1" x14ac:dyDescent="0.3">
      <c r="B52" s="11" t="s">
        <v>7</v>
      </c>
      <c r="C52" s="11">
        <f>COUNTA(C2:C51)</f>
        <v>50</v>
      </c>
      <c r="D52" s="11"/>
      <c r="E52" s="9">
        <f t="shared" ref="E52:V52" si="2">SUM(E2:E51)</f>
        <v>15119</v>
      </c>
      <c r="F52" s="19">
        <f>SUM(F2:F51)</f>
        <v>116</v>
      </c>
      <c r="G52" s="9">
        <f t="shared" si="2"/>
        <v>3192</v>
      </c>
      <c r="H52" s="9">
        <f t="shared" si="2"/>
        <v>8159</v>
      </c>
      <c r="I52" s="9">
        <f t="shared" si="2"/>
        <v>10078</v>
      </c>
      <c r="J52" s="9">
        <f t="shared" si="2"/>
        <v>15950</v>
      </c>
      <c r="K52" s="9">
        <f t="shared" si="2"/>
        <v>418</v>
      </c>
      <c r="L52" s="9">
        <f t="shared" si="2"/>
        <v>34</v>
      </c>
      <c r="M52" s="9">
        <f t="shared" si="2"/>
        <v>12</v>
      </c>
      <c r="N52" s="9">
        <f t="shared" si="2"/>
        <v>3033</v>
      </c>
      <c r="O52" s="9">
        <f t="shared" si="2"/>
        <v>451</v>
      </c>
      <c r="P52" s="9">
        <f t="shared" si="2"/>
        <v>58</v>
      </c>
      <c r="Q52" s="9">
        <f t="shared" si="2"/>
        <v>17</v>
      </c>
      <c r="R52" s="9">
        <f t="shared" si="2"/>
        <v>11</v>
      </c>
      <c r="S52" s="9">
        <f t="shared" si="2"/>
        <v>41</v>
      </c>
      <c r="T52" s="9">
        <f t="shared" si="2"/>
        <v>29</v>
      </c>
      <c r="U52" s="9">
        <f t="shared" si="2"/>
        <v>34</v>
      </c>
      <c r="V52" s="9">
        <f t="shared" si="2"/>
        <v>6</v>
      </c>
      <c r="W52" s="9">
        <f t="shared" ref="W52:AH52" si="3">SUM(W2:W51)</f>
        <v>295</v>
      </c>
      <c r="X52" s="9">
        <f t="shared" si="3"/>
        <v>4</v>
      </c>
      <c r="Y52" s="9">
        <f t="shared" si="3"/>
        <v>10</v>
      </c>
      <c r="Z52" s="9">
        <f t="shared" si="3"/>
        <v>37</v>
      </c>
      <c r="AA52" s="9">
        <f t="shared" si="3"/>
        <v>4843</v>
      </c>
      <c r="AB52" s="9">
        <f t="shared" si="3"/>
        <v>29</v>
      </c>
      <c r="AC52" s="9">
        <f t="shared" si="3"/>
        <v>29</v>
      </c>
      <c r="AD52" s="9">
        <f t="shared" si="3"/>
        <v>53</v>
      </c>
      <c r="AE52" s="9">
        <f t="shared" si="3"/>
        <v>321</v>
      </c>
      <c r="AF52" s="9">
        <f t="shared" si="3"/>
        <v>9</v>
      </c>
      <c r="AG52" s="9">
        <f t="shared" si="3"/>
        <v>9774</v>
      </c>
      <c r="AH52" s="19">
        <f t="shared" si="3"/>
        <v>273</v>
      </c>
    </row>
  </sheetData>
  <sheetProtection insertRows="0"/>
  <conditionalFormatting sqref="H2:I50">
    <cfRule type="expression" dxfId="3" priority="280">
      <formula>H2&lt;G2</formula>
    </cfRule>
  </conditionalFormatting>
  <conditionalFormatting sqref="H51:I51">
    <cfRule type="expression" dxfId="2" priority="16">
      <formula>H51&lt;G51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2"/>
  <sheetViews>
    <sheetView tabSelected="1" topLeftCell="P1" zoomScale="90" zoomScaleNormal="90" workbookViewId="0">
      <pane ySplit="1" topLeftCell="A2" activePane="bottomLeft" state="frozen"/>
      <selection pane="bottomLeft" activeCell="AA1" sqref="AA1:XFD1048576"/>
    </sheetView>
  </sheetViews>
  <sheetFormatPr defaultColWidth="9.109375" defaultRowHeight="14.4" x14ac:dyDescent="0.3"/>
  <cols>
    <col min="1" max="1" width="6.88671875" style="1" customWidth="1"/>
    <col min="2" max="2" width="13" style="7" customWidth="1"/>
    <col min="3" max="3" width="8.88671875" style="7" customWidth="1"/>
    <col min="4" max="4" width="7.21875" style="7" customWidth="1"/>
    <col min="5" max="5" width="14.6640625" style="10" customWidth="1"/>
    <col min="6" max="6" width="15" style="1" customWidth="1"/>
    <col min="7" max="7" width="9.77734375" style="1" customWidth="1"/>
    <col min="8" max="8" width="9.88671875" style="1" customWidth="1"/>
    <col min="9" max="9" width="10.21875" style="1" bestFit="1" customWidth="1"/>
    <col min="10" max="10" width="12.88671875" style="7" customWidth="1"/>
    <col min="11" max="12" width="7.77734375" style="1" customWidth="1"/>
    <col min="13" max="13" width="9.109375" style="1" customWidth="1"/>
    <col min="14" max="14" width="8.109375" style="1" customWidth="1"/>
    <col min="15" max="16" width="8.88671875" style="1" customWidth="1"/>
    <col min="17" max="17" width="8.77734375" style="1" customWidth="1"/>
    <col min="18" max="18" width="8.88671875" style="1" customWidth="1"/>
    <col min="19" max="19" width="8.77734375" style="1" customWidth="1"/>
    <col min="20" max="20" width="8.6640625" style="1" customWidth="1"/>
    <col min="21" max="21" width="9.21875" style="1" customWidth="1"/>
    <col min="22" max="22" width="8" style="1" customWidth="1"/>
    <col min="23" max="24" width="8.6640625" style="1" customWidth="1"/>
    <col min="25" max="25" width="13.6640625" style="23" customWidth="1"/>
    <col min="26" max="26" width="13.6640625" style="7" customWidth="1"/>
    <col min="27" max="16384" width="9.109375" style="1"/>
  </cols>
  <sheetData>
    <row r="1" spans="1:26" s="30" customFormat="1" ht="30" customHeight="1" x14ac:dyDescent="0.3">
      <c r="A1" s="38" t="s">
        <v>13</v>
      </c>
      <c r="B1" s="38" t="s">
        <v>10</v>
      </c>
      <c r="C1" s="38" t="s">
        <v>0</v>
      </c>
      <c r="D1" s="38" t="s">
        <v>12</v>
      </c>
      <c r="E1" s="33" t="s">
        <v>1</v>
      </c>
      <c r="F1" s="38" t="s">
        <v>2</v>
      </c>
      <c r="G1" s="38" t="s">
        <v>3</v>
      </c>
      <c r="H1" s="38" t="s">
        <v>4</v>
      </c>
      <c r="I1" s="38" t="s">
        <v>5</v>
      </c>
      <c r="J1" s="38" t="s">
        <v>9</v>
      </c>
      <c r="K1" s="28" t="s">
        <v>87</v>
      </c>
      <c r="L1" s="28" t="s">
        <v>88</v>
      </c>
      <c r="M1" s="34" t="s">
        <v>89</v>
      </c>
      <c r="N1" s="34" t="s">
        <v>90</v>
      </c>
      <c r="O1" s="29" t="s">
        <v>91</v>
      </c>
      <c r="P1" s="28" t="s">
        <v>92</v>
      </c>
      <c r="Q1" s="35" t="s">
        <v>93</v>
      </c>
      <c r="R1" s="28" t="s">
        <v>94</v>
      </c>
      <c r="S1" s="28" t="s">
        <v>95</v>
      </c>
      <c r="T1" s="28" t="s">
        <v>96</v>
      </c>
      <c r="U1" s="34" t="s">
        <v>97</v>
      </c>
      <c r="V1" s="34" t="s">
        <v>98</v>
      </c>
      <c r="W1" s="34" t="s">
        <v>99</v>
      </c>
      <c r="X1" s="36" t="s">
        <v>100</v>
      </c>
      <c r="Y1" s="37" t="s">
        <v>8</v>
      </c>
      <c r="Z1" s="38" t="s">
        <v>6</v>
      </c>
    </row>
    <row r="2" spans="1:26" ht="16.2" x14ac:dyDescent="0.4">
      <c r="A2" s="13" t="s">
        <v>14</v>
      </c>
      <c r="B2" s="14" t="s">
        <v>11</v>
      </c>
      <c r="C2" s="14" t="s">
        <v>15</v>
      </c>
      <c r="D2" s="3"/>
      <c r="E2" s="20">
        <v>759</v>
      </c>
      <c r="F2" s="21">
        <v>5</v>
      </c>
      <c r="G2" s="17">
        <v>136</v>
      </c>
      <c r="H2" s="17">
        <v>415</v>
      </c>
      <c r="I2" s="16">
        <v>493</v>
      </c>
      <c r="J2" s="18">
        <v>700</v>
      </c>
      <c r="K2" s="26">
        <v>5</v>
      </c>
      <c r="L2" s="26">
        <v>0</v>
      </c>
      <c r="M2" s="26">
        <v>91</v>
      </c>
      <c r="N2" s="26">
        <v>6</v>
      </c>
      <c r="O2" s="26">
        <v>2</v>
      </c>
      <c r="P2" s="26">
        <v>0</v>
      </c>
      <c r="Q2" s="26">
        <v>1</v>
      </c>
      <c r="R2" s="26">
        <v>0</v>
      </c>
      <c r="S2" s="26">
        <v>1</v>
      </c>
      <c r="T2" s="26">
        <v>5</v>
      </c>
      <c r="U2" s="26">
        <v>354</v>
      </c>
      <c r="V2" s="26">
        <v>7</v>
      </c>
      <c r="W2" s="26">
        <v>3</v>
      </c>
      <c r="X2" s="26">
        <v>1</v>
      </c>
      <c r="Y2" s="15">
        <f t="shared" ref="Y2:Y33" si="0">SUM(K2:X2)</f>
        <v>476</v>
      </c>
      <c r="Z2" s="25">
        <v>17</v>
      </c>
    </row>
    <row r="3" spans="1:26" ht="16.2" x14ac:dyDescent="0.4">
      <c r="A3" s="13" t="s">
        <v>14</v>
      </c>
      <c r="B3" s="14" t="s">
        <v>11</v>
      </c>
      <c r="C3" s="14" t="s">
        <v>16</v>
      </c>
      <c r="D3" s="3"/>
      <c r="E3" s="20">
        <v>216</v>
      </c>
      <c r="F3" s="21">
        <v>2</v>
      </c>
      <c r="G3" s="17">
        <v>29</v>
      </c>
      <c r="H3" s="17">
        <v>92</v>
      </c>
      <c r="I3" s="16">
        <v>123</v>
      </c>
      <c r="J3" s="18">
        <v>250</v>
      </c>
      <c r="K3" s="26">
        <v>4</v>
      </c>
      <c r="L3" s="26">
        <v>0</v>
      </c>
      <c r="M3" s="26">
        <v>20</v>
      </c>
      <c r="N3" s="26">
        <v>7</v>
      </c>
      <c r="O3" s="26">
        <v>1</v>
      </c>
      <c r="P3" s="26">
        <v>0</v>
      </c>
      <c r="Q3" s="26">
        <v>0</v>
      </c>
      <c r="R3" s="26">
        <v>0</v>
      </c>
      <c r="S3" s="26">
        <v>0</v>
      </c>
      <c r="T3" s="26">
        <v>2</v>
      </c>
      <c r="U3" s="26">
        <v>80</v>
      </c>
      <c r="V3" s="26">
        <v>1</v>
      </c>
      <c r="W3" s="26">
        <v>1</v>
      </c>
      <c r="X3" s="26">
        <v>0</v>
      </c>
      <c r="Y3" s="15">
        <f t="shared" si="0"/>
        <v>116</v>
      </c>
      <c r="Z3" s="26">
        <v>7</v>
      </c>
    </row>
    <row r="4" spans="1:26" ht="16.2" x14ac:dyDescent="0.4">
      <c r="A4" s="13" t="s">
        <v>14</v>
      </c>
      <c r="B4" s="14" t="s">
        <v>11</v>
      </c>
      <c r="C4" s="14" t="s">
        <v>17</v>
      </c>
      <c r="D4" s="3"/>
      <c r="E4" s="20">
        <v>317</v>
      </c>
      <c r="F4" s="21">
        <v>0</v>
      </c>
      <c r="G4" s="17">
        <v>81</v>
      </c>
      <c r="H4" s="17">
        <v>182</v>
      </c>
      <c r="I4" s="16">
        <v>217</v>
      </c>
      <c r="J4" s="18">
        <v>350</v>
      </c>
      <c r="K4" s="26">
        <v>3</v>
      </c>
      <c r="L4" s="26">
        <v>0</v>
      </c>
      <c r="M4" s="26">
        <v>101</v>
      </c>
      <c r="N4" s="26">
        <v>10</v>
      </c>
      <c r="O4" s="26">
        <v>2</v>
      </c>
      <c r="P4" s="26">
        <v>1</v>
      </c>
      <c r="Q4" s="26">
        <v>0</v>
      </c>
      <c r="R4" s="26">
        <v>1</v>
      </c>
      <c r="S4" s="26">
        <v>0</v>
      </c>
      <c r="T4" s="26">
        <v>7</v>
      </c>
      <c r="U4" s="26">
        <v>76</v>
      </c>
      <c r="V4" s="26">
        <v>4</v>
      </c>
      <c r="W4" s="26">
        <v>4</v>
      </c>
      <c r="X4" s="26">
        <v>0</v>
      </c>
      <c r="Y4" s="15">
        <f t="shared" si="0"/>
        <v>209</v>
      </c>
      <c r="Z4" s="26">
        <v>8</v>
      </c>
    </row>
    <row r="5" spans="1:26" ht="16.2" x14ac:dyDescent="0.4">
      <c r="A5" s="13" t="s">
        <v>14</v>
      </c>
      <c r="B5" s="14" t="s">
        <v>11</v>
      </c>
      <c r="C5" s="14" t="s">
        <v>18</v>
      </c>
      <c r="D5" s="3"/>
      <c r="E5" s="20">
        <v>434</v>
      </c>
      <c r="F5" s="21">
        <v>1</v>
      </c>
      <c r="G5" s="17">
        <v>68</v>
      </c>
      <c r="H5" s="17">
        <v>219</v>
      </c>
      <c r="I5" s="16">
        <v>269</v>
      </c>
      <c r="J5" s="18">
        <v>450</v>
      </c>
      <c r="K5" s="26">
        <v>15</v>
      </c>
      <c r="L5" s="26">
        <v>0</v>
      </c>
      <c r="M5" s="26">
        <v>76</v>
      </c>
      <c r="N5" s="26">
        <v>9</v>
      </c>
      <c r="O5" s="26">
        <v>2</v>
      </c>
      <c r="P5" s="26">
        <v>0</v>
      </c>
      <c r="Q5" s="26">
        <v>0</v>
      </c>
      <c r="R5" s="26">
        <v>1</v>
      </c>
      <c r="S5" s="26">
        <v>1</v>
      </c>
      <c r="T5" s="26">
        <v>4</v>
      </c>
      <c r="U5" s="26">
        <v>122</v>
      </c>
      <c r="V5" s="26">
        <v>25</v>
      </c>
      <c r="W5" s="26">
        <v>5</v>
      </c>
      <c r="X5" s="26">
        <v>0</v>
      </c>
      <c r="Y5" s="15">
        <f t="shared" si="0"/>
        <v>260</v>
      </c>
      <c r="Z5" s="26">
        <v>9</v>
      </c>
    </row>
    <row r="6" spans="1:26" ht="16.2" x14ac:dyDescent="0.4">
      <c r="A6" s="13" t="s">
        <v>14</v>
      </c>
      <c r="B6" s="14" t="s">
        <v>11</v>
      </c>
      <c r="C6" s="14" t="s">
        <v>19</v>
      </c>
      <c r="D6" s="3"/>
      <c r="E6" s="20">
        <v>475</v>
      </c>
      <c r="F6" s="21">
        <v>2</v>
      </c>
      <c r="G6" s="17">
        <v>86</v>
      </c>
      <c r="H6" s="17">
        <v>239</v>
      </c>
      <c r="I6" s="16">
        <v>285</v>
      </c>
      <c r="J6" s="18">
        <v>500</v>
      </c>
      <c r="K6" s="26">
        <v>25</v>
      </c>
      <c r="L6" s="26">
        <v>2</v>
      </c>
      <c r="M6" s="26">
        <v>80</v>
      </c>
      <c r="N6" s="26">
        <v>4</v>
      </c>
      <c r="O6" s="26">
        <v>1</v>
      </c>
      <c r="P6" s="26">
        <v>2</v>
      </c>
      <c r="Q6" s="26">
        <v>1</v>
      </c>
      <c r="R6" s="26">
        <v>5</v>
      </c>
      <c r="S6" s="26">
        <v>0</v>
      </c>
      <c r="T6" s="26">
        <v>2</v>
      </c>
      <c r="U6" s="26">
        <v>145</v>
      </c>
      <c r="V6" s="26">
        <v>0</v>
      </c>
      <c r="W6" s="26">
        <v>1</v>
      </c>
      <c r="X6" s="26">
        <v>1</v>
      </c>
      <c r="Y6" s="15">
        <f t="shared" si="0"/>
        <v>269</v>
      </c>
      <c r="Z6" s="26">
        <v>16</v>
      </c>
    </row>
    <row r="7" spans="1:26" ht="16.2" x14ac:dyDescent="0.4">
      <c r="A7" s="13" t="s">
        <v>14</v>
      </c>
      <c r="B7" s="14" t="s">
        <v>11</v>
      </c>
      <c r="C7" s="14" t="s">
        <v>20</v>
      </c>
      <c r="D7" s="3"/>
      <c r="E7" s="20">
        <v>381</v>
      </c>
      <c r="F7" s="21">
        <v>2</v>
      </c>
      <c r="G7" s="17">
        <v>63</v>
      </c>
      <c r="H7" s="17">
        <v>167</v>
      </c>
      <c r="I7" s="16">
        <v>229</v>
      </c>
      <c r="J7" s="18">
        <v>400</v>
      </c>
      <c r="K7" s="26">
        <v>3</v>
      </c>
      <c r="L7" s="26">
        <v>1</v>
      </c>
      <c r="M7" s="26">
        <v>91</v>
      </c>
      <c r="N7" s="26">
        <v>8</v>
      </c>
      <c r="O7" s="26">
        <v>2</v>
      </c>
      <c r="P7" s="26">
        <v>1</v>
      </c>
      <c r="Q7" s="26">
        <v>0</v>
      </c>
      <c r="R7" s="26">
        <v>0</v>
      </c>
      <c r="S7" s="26">
        <v>3</v>
      </c>
      <c r="T7" s="26">
        <v>0</v>
      </c>
      <c r="U7" s="26">
        <v>111</v>
      </c>
      <c r="V7" s="26">
        <v>0</v>
      </c>
      <c r="W7" s="26">
        <v>5</v>
      </c>
      <c r="X7" s="26">
        <v>0</v>
      </c>
      <c r="Y7" s="15">
        <f t="shared" si="0"/>
        <v>225</v>
      </c>
      <c r="Z7" s="26">
        <v>3</v>
      </c>
    </row>
    <row r="8" spans="1:26" ht="16.2" x14ac:dyDescent="0.4">
      <c r="A8" s="13" t="s">
        <v>14</v>
      </c>
      <c r="B8" s="14" t="s">
        <v>11</v>
      </c>
      <c r="C8" s="14" t="s">
        <v>21</v>
      </c>
      <c r="D8" s="3"/>
      <c r="E8" s="20">
        <v>179</v>
      </c>
      <c r="F8" s="21">
        <v>0</v>
      </c>
      <c r="G8" s="17">
        <v>37</v>
      </c>
      <c r="H8" s="17">
        <v>90</v>
      </c>
      <c r="I8" s="16">
        <v>109</v>
      </c>
      <c r="J8" s="18">
        <v>200</v>
      </c>
      <c r="K8" s="26">
        <v>2</v>
      </c>
      <c r="L8" s="26">
        <v>1</v>
      </c>
      <c r="M8" s="26">
        <v>38</v>
      </c>
      <c r="N8" s="26">
        <v>3</v>
      </c>
      <c r="O8" s="26">
        <v>0</v>
      </c>
      <c r="P8" s="26">
        <v>0</v>
      </c>
      <c r="Q8" s="26">
        <v>0</v>
      </c>
      <c r="R8" s="26">
        <v>0</v>
      </c>
      <c r="S8" s="26">
        <v>1</v>
      </c>
      <c r="T8" s="26">
        <v>0</v>
      </c>
      <c r="U8" s="26">
        <v>52</v>
      </c>
      <c r="V8" s="26">
        <v>0</v>
      </c>
      <c r="W8" s="26">
        <v>9</v>
      </c>
      <c r="X8" s="26">
        <v>0</v>
      </c>
      <c r="Y8" s="15">
        <f t="shared" si="0"/>
        <v>106</v>
      </c>
      <c r="Z8" s="26">
        <v>3</v>
      </c>
    </row>
    <row r="9" spans="1:26" ht="16.2" x14ac:dyDescent="0.4">
      <c r="A9" s="13" t="s">
        <v>14</v>
      </c>
      <c r="B9" s="14" t="s">
        <v>11</v>
      </c>
      <c r="C9" s="14" t="s">
        <v>22</v>
      </c>
      <c r="D9" s="3"/>
      <c r="E9" s="20">
        <v>112</v>
      </c>
      <c r="F9" s="21">
        <v>3</v>
      </c>
      <c r="G9" s="17">
        <v>16</v>
      </c>
      <c r="H9" s="17">
        <v>62</v>
      </c>
      <c r="I9" s="16">
        <v>65</v>
      </c>
      <c r="J9" s="18">
        <v>150</v>
      </c>
      <c r="K9" s="26">
        <v>1</v>
      </c>
      <c r="L9" s="26">
        <v>1</v>
      </c>
      <c r="M9" s="26">
        <v>20</v>
      </c>
      <c r="N9" s="26">
        <v>4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1</v>
      </c>
      <c r="U9" s="26">
        <v>34</v>
      </c>
      <c r="V9" s="26">
        <v>1</v>
      </c>
      <c r="W9" s="26">
        <v>3</v>
      </c>
      <c r="X9" s="26">
        <v>0</v>
      </c>
      <c r="Y9" s="15">
        <f t="shared" si="0"/>
        <v>65</v>
      </c>
      <c r="Z9" s="26">
        <v>0</v>
      </c>
    </row>
    <row r="10" spans="1:26" ht="16.2" x14ac:dyDescent="0.4">
      <c r="A10" s="13" t="s">
        <v>14</v>
      </c>
      <c r="B10" s="14" t="s">
        <v>11</v>
      </c>
      <c r="C10" s="14" t="s">
        <v>23</v>
      </c>
      <c r="D10" s="3"/>
      <c r="E10" s="20">
        <v>336</v>
      </c>
      <c r="F10" s="21">
        <v>1</v>
      </c>
      <c r="G10" s="17">
        <v>63</v>
      </c>
      <c r="H10" s="17">
        <v>170</v>
      </c>
      <c r="I10" s="16">
        <v>212</v>
      </c>
      <c r="J10" s="18">
        <v>350</v>
      </c>
      <c r="K10" s="26">
        <v>8</v>
      </c>
      <c r="L10" s="26">
        <v>0</v>
      </c>
      <c r="M10" s="26">
        <v>57</v>
      </c>
      <c r="N10" s="26">
        <v>4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1</v>
      </c>
      <c r="U10" s="26">
        <v>130</v>
      </c>
      <c r="V10" s="26">
        <v>2</v>
      </c>
      <c r="W10" s="26">
        <v>2</v>
      </c>
      <c r="X10" s="26">
        <v>0</v>
      </c>
      <c r="Y10" s="15">
        <f t="shared" si="0"/>
        <v>204</v>
      </c>
      <c r="Z10" s="26">
        <v>8</v>
      </c>
    </row>
    <row r="11" spans="1:26" ht="16.2" x14ac:dyDescent="0.4">
      <c r="A11" s="13" t="s">
        <v>14</v>
      </c>
      <c r="B11" s="14" t="s">
        <v>11</v>
      </c>
      <c r="C11" s="14" t="s">
        <v>24</v>
      </c>
      <c r="D11" s="3"/>
      <c r="E11" s="20">
        <v>344</v>
      </c>
      <c r="F11" s="21">
        <v>1</v>
      </c>
      <c r="G11" s="17">
        <v>85</v>
      </c>
      <c r="H11" s="17">
        <v>191</v>
      </c>
      <c r="I11" s="16">
        <v>252</v>
      </c>
      <c r="J11" s="18">
        <v>350</v>
      </c>
      <c r="K11" s="26">
        <v>12</v>
      </c>
      <c r="L11" s="26">
        <v>1</v>
      </c>
      <c r="M11" s="26">
        <v>68</v>
      </c>
      <c r="N11" s="26">
        <v>15</v>
      </c>
      <c r="O11" s="26">
        <v>0</v>
      </c>
      <c r="P11" s="26">
        <v>0</v>
      </c>
      <c r="Q11" s="26">
        <v>0</v>
      </c>
      <c r="R11" s="26">
        <v>0</v>
      </c>
      <c r="S11" s="26">
        <v>1</v>
      </c>
      <c r="T11" s="26">
        <v>5</v>
      </c>
      <c r="U11" s="26">
        <v>131</v>
      </c>
      <c r="V11" s="26">
        <v>0</v>
      </c>
      <c r="W11" s="26">
        <v>13</v>
      </c>
      <c r="X11" s="26">
        <v>0</v>
      </c>
      <c r="Y11" s="15">
        <f t="shared" si="0"/>
        <v>246</v>
      </c>
      <c r="Z11" s="26">
        <v>5</v>
      </c>
    </row>
    <row r="12" spans="1:26" ht="16.2" x14ac:dyDescent="0.4">
      <c r="A12" s="13" t="s">
        <v>14</v>
      </c>
      <c r="B12" s="14" t="s">
        <v>11</v>
      </c>
      <c r="C12" s="14" t="s">
        <v>25</v>
      </c>
      <c r="D12" s="3"/>
      <c r="E12" s="20">
        <v>133</v>
      </c>
      <c r="F12" s="21">
        <v>2</v>
      </c>
      <c r="G12" s="17">
        <v>32</v>
      </c>
      <c r="H12" s="17">
        <v>74</v>
      </c>
      <c r="I12" s="16">
        <v>92</v>
      </c>
      <c r="J12" s="18">
        <v>150</v>
      </c>
      <c r="K12" s="26">
        <v>1</v>
      </c>
      <c r="L12" s="26">
        <v>0</v>
      </c>
      <c r="M12" s="26">
        <v>12</v>
      </c>
      <c r="N12" s="26">
        <v>12</v>
      </c>
      <c r="O12" s="26">
        <v>0</v>
      </c>
      <c r="P12" s="26">
        <v>0</v>
      </c>
      <c r="Q12" s="26">
        <v>1</v>
      </c>
      <c r="R12" s="26">
        <v>1</v>
      </c>
      <c r="S12" s="26">
        <v>0</v>
      </c>
      <c r="T12" s="26">
        <v>0</v>
      </c>
      <c r="U12" s="26">
        <v>64</v>
      </c>
      <c r="V12" s="26">
        <v>1</v>
      </c>
      <c r="W12" s="26">
        <v>0</v>
      </c>
      <c r="X12" s="26">
        <v>0</v>
      </c>
      <c r="Y12" s="15">
        <f t="shared" si="0"/>
        <v>92</v>
      </c>
      <c r="Z12" s="26">
        <v>0</v>
      </c>
    </row>
    <row r="13" spans="1:26" ht="16.2" x14ac:dyDescent="0.4">
      <c r="A13" s="13" t="s">
        <v>14</v>
      </c>
      <c r="B13" s="14" t="s">
        <v>11</v>
      </c>
      <c r="C13" s="14" t="s">
        <v>26</v>
      </c>
      <c r="D13" s="3"/>
      <c r="E13" s="20">
        <v>211</v>
      </c>
      <c r="F13" s="21">
        <v>1</v>
      </c>
      <c r="G13" s="17">
        <v>50</v>
      </c>
      <c r="H13" s="17">
        <v>135</v>
      </c>
      <c r="I13" s="16">
        <v>163</v>
      </c>
      <c r="J13" s="18">
        <v>250</v>
      </c>
      <c r="K13" s="26">
        <v>11</v>
      </c>
      <c r="L13" s="26">
        <v>0</v>
      </c>
      <c r="M13" s="26">
        <v>35</v>
      </c>
      <c r="N13" s="26">
        <v>5</v>
      </c>
      <c r="O13" s="26">
        <v>0</v>
      </c>
      <c r="P13" s="26">
        <v>2</v>
      </c>
      <c r="Q13" s="26">
        <v>0</v>
      </c>
      <c r="R13" s="26">
        <v>0</v>
      </c>
      <c r="S13" s="26">
        <v>0</v>
      </c>
      <c r="T13" s="26">
        <v>3</v>
      </c>
      <c r="U13" s="26">
        <v>94</v>
      </c>
      <c r="V13" s="26">
        <v>0</v>
      </c>
      <c r="W13" s="26">
        <v>9</v>
      </c>
      <c r="X13" s="26">
        <v>0</v>
      </c>
      <c r="Y13" s="15">
        <f t="shared" si="0"/>
        <v>159</v>
      </c>
      <c r="Z13" s="26">
        <v>4</v>
      </c>
    </row>
    <row r="14" spans="1:26" ht="16.2" x14ac:dyDescent="0.4">
      <c r="A14" s="13" t="s">
        <v>14</v>
      </c>
      <c r="B14" s="14" t="s">
        <v>11</v>
      </c>
      <c r="C14" s="14" t="s">
        <v>27</v>
      </c>
      <c r="D14" s="3"/>
      <c r="E14" s="20">
        <v>162</v>
      </c>
      <c r="F14" s="21">
        <v>0</v>
      </c>
      <c r="G14" s="17">
        <v>47</v>
      </c>
      <c r="H14" s="17">
        <v>96</v>
      </c>
      <c r="I14" s="16">
        <v>106</v>
      </c>
      <c r="J14" s="18">
        <v>200</v>
      </c>
      <c r="K14" s="26">
        <v>3</v>
      </c>
      <c r="L14" s="26">
        <v>0</v>
      </c>
      <c r="M14" s="26">
        <v>18</v>
      </c>
      <c r="N14" s="26">
        <v>5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67</v>
      </c>
      <c r="V14" s="26">
        <v>1</v>
      </c>
      <c r="W14" s="26">
        <v>7</v>
      </c>
      <c r="X14" s="26">
        <v>0</v>
      </c>
      <c r="Y14" s="15">
        <f t="shared" si="0"/>
        <v>101</v>
      </c>
      <c r="Z14" s="26">
        <v>4</v>
      </c>
    </row>
    <row r="15" spans="1:26" ht="16.2" x14ac:dyDescent="0.4">
      <c r="A15" s="13" t="s">
        <v>14</v>
      </c>
      <c r="B15" s="14" t="s">
        <v>11</v>
      </c>
      <c r="C15" s="14" t="s">
        <v>28</v>
      </c>
      <c r="D15" s="3"/>
      <c r="E15" s="20">
        <v>609</v>
      </c>
      <c r="F15" s="21">
        <v>4</v>
      </c>
      <c r="G15" s="17">
        <v>101</v>
      </c>
      <c r="H15" s="17">
        <v>302</v>
      </c>
      <c r="I15" s="16">
        <v>392</v>
      </c>
      <c r="J15" s="18">
        <v>550</v>
      </c>
      <c r="K15" s="26">
        <v>3</v>
      </c>
      <c r="L15" s="26">
        <v>0</v>
      </c>
      <c r="M15" s="26">
        <v>124</v>
      </c>
      <c r="N15" s="26">
        <v>9</v>
      </c>
      <c r="O15" s="26">
        <v>1</v>
      </c>
      <c r="P15" s="26">
        <v>2</v>
      </c>
      <c r="Q15" s="26">
        <v>2</v>
      </c>
      <c r="R15" s="26">
        <v>0</v>
      </c>
      <c r="S15" s="26">
        <v>0</v>
      </c>
      <c r="T15" s="26">
        <v>7</v>
      </c>
      <c r="U15" s="26">
        <v>232</v>
      </c>
      <c r="V15" s="26">
        <v>1</v>
      </c>
      <c r="W15" s="26">
        <v>4</v>
      </c>
      <c r="X15" s="26">
        <v>0</v>
      </c>
      <c r="Y15" s="15">
        <f t="shared" si="0"/>
        <v>385</v>
      </c>
      <c r="Z15" s="26">
        <v>4</v>
      </c>
    </row>
    <row r="16" spans="1:26" ht="16.2" x14ac:dyDescent="0.4">
      <c r="A16" s="13" t="s">
        <v>14</v>
      </c>
      <c r="B16" s="14" t="s">
        <v>11</v>
      </c>
      <c r="C16" s="14" t="s">
        <v>29</v>
      </c>
      <c r="D16" s="3"/>
      <c r="E16" s="20">
        <v>738</v>
      </c>
      <c r="F16" s="21">
        <v>3</v>
      </c>
      <c r="G16" s="17">
        <v>143</v>
      </c>
      <c r="H16" s="17">
        <v>385</v>
      </c>
      <c r="I16" s="16">
        <v>504</v>
      </c>
      <c r="J16" s="18">
        <v>700</v>
      </c>
      <c r="K16" s="26">
        <v>15</v>
      </c>
      <c r="L16" s="26">
        <v>1</v>
      </c>
      <c r="M16" s="26">
        <v>166</v>
      </c>
      <c r="N16" s="26">
        <v>8</v>
      </c>
      <c r="O16" s="26">
        <v>3</v>
      </c>
      <c r="P16" s="26">
        <v>1</v>
      </c>
      <c r="Q16" s="26">
        <v>1</v>
      </c>
      <c r="R16" s="26">
        <v>1</v>
      </c>
      <c r="S16" s="26">
        <v>1</v>
      </c>
      <c r="T16" s="26">
        <v>8</v>
      </c>
      <c r="U16" s="26">
        <v>233</v>
      </c>
      <c r="V16" s="26">
        <v>6</v>
      </c>
      <c r="W16" s="26">
        <v>35</v>
      </c>
      <c r="X16" s="26">
        <v>2</v>
      </c>
      <c r="Y16" s="15">
        <f t="shared" si="0"/>
        <v>481</v>
      </c>
      <c r="Z16" s="26">
        <v>20</v>
      </c>
    </row>
    <row r="17" spans="1:26" ht="16.2" x14ac:dyDescent="0.4">
      <c r="A17" s="13" t="s">
        <v>14</v>
      </c>
      <c r="B17" s="14" t="s">
        <v>11</v>
      </c>
      <c r="C17" s="14" t="s">
        <v>30</v>
      </c>
      <c r="D17" s="3"/>
      <c r="E17" s="20">
        <v>653</v>
      </c>
      <c r="F17" s="21">
        <v>0</v>
      </c>
      <c r="G17" s="17">
        <v>126</v>
      </c>
      <c r="H17" s="17">
        <v>345</v>
      </c>
      <c r="I17" s="16">
        <v>426</v>
      </c>
      <c r="J17" s="18">
        <v>600</v>
      </c>
      <c r="K17" s="26">
        <v>11</v>
      </c>
      <c r="L17" s="26">
        <v>3</v>
      </c>
      <c r="M17" s="26">
        <v>138</v>
      </c>
      <c r="N17" s="26">
        <v>17</v>
      </c>
      <c r="O17" s="26">
        <v>1</v>
      </c>
      <c r="P17" s="26">
        <v>1</v>
      </c>
      <c r="Q17" s="26">
        <v>0</v>
      </c>
      <c r="R17" s="26">
        <v>0</v>
      </c>
      <c r="S17" s="26">
        <v>0</v>
      </c>
      <c r="T17" s="26">
        <v>7</v>
      </c>
      <c r="U17" s="26">
        <v>222</v>
      </c>
      <c r="V17" s="26">
        <v>3</v>
      </c>
      <c r="W17" s="26">
        <v>8</v>
      </c>
      <c r="X17" s="26">
        <v>1</v>
      </c>
      <c r="Y17" s="15">
        <f t="shared" si="0"/>
        <v>412</v>
      </c>
      <c r="Z17" s="26">
        <v>14</v>
      </c>
    </row>
    <row r="18" spans="1:26" ht="16.2" x14ac:dyDescent="0.4">
      <c r="A18" s="13" t="s">
        <v>14</v>
      </c>
      <c r="B18" s="14" t="s">
        <v>11</v>
      </c>
      <c r="C18" s="14" t="s">
        <v>31</v>
      </c>
      <c r="D18" s="3"/>
      <c r="E18" s="20">
        <v>420</v>
      </c>
      <c r="F18" s="21">
        <v>0</v>
      </c>
      <c r="G18" s="17">
        <v>105</v>
      </c>
      <c r="H18" s="17">
        <v>255</v>
      </c>
      <c r="I18" s="16">
        <v>289</v>
      </c>
      <c r="J18" s="18">
        <v>450</v>
      </c>
      <c r="K18" s="26">
        <v>8</v>
      </c>
      <c r="L18" s="26">
        <v>1</v>
      </c>
      <c r="M18" s="26">
        <v>79</v>
      </c>
      <c r="N18" s="26">
        <v>7</v>
      </c>
      <c r="O18" s="26">
        <v>1</v>
      </c>
      <c r="P18" s="26">
        <v>2</v>
      </c>
      <c r="Q18" s="26">
        <v>1</v>
      </c>
      <c r="R18" s="26">
        <v>1</v>
      </c>
      <c r="S18" s="26">
        <v>2</v>
      </c>
      <c r="T18" s="26">
        <v>2</v>
      </c>
      <c r="U18" s="26">
        <v>160</v>
      </c>
      <c r="V18" s="26">
        <v>4</v>
      </c>
      <c r="W18" s="26">
        <v>15</v>
      </c>
      <c r="X18" s="26">
        <v>0</v>
      </c>
      <c r="Y18" s="15">
        <f t="shared" si="0"/>
        <v>283</v>
      </c>
      <c r="Z18" s="26">
        <v>6</v>
      </c>
    </row>
    <row r="19" spans="1:26" ht="16.2" x14ac:dyDescent="0.4">
      <c r="A19" s="13" t="s">
        <v>14</v>
      </c>
      <c r="B19" s="14" t="s">
        <v>11</v>
      </c>
      <c r="C19" s="14" t="s">
        <v>32</v>
      </c>
      <c r="D19" s="3"/>
      <c r="E19" s="20">
        <v>186</v>
      </c>
      <c r="F19" s="21">
        <v>1</v>
      </c>
      <c r="G19" s="17">
        <v>41</v>
      </c>
      <c r="H19" s="17">
        <v>119</v>
      </c>
      <c r="I19" s="16">
        <v>137</v>
      </c>
      <c r="J19" s="18">
        <v>200</v>
      </c>
      <c r="K19" s="26">
        <v>5</v>
      </c>
      <c r="L19" s="26">
        <v>0</v>
      </c>
      <c r="M19" s="26">
        <v>33</v>
      </c>
      <c r="N19" s="26">
        <v>1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4</v>
      </c>
      <c r="U19" s="26">
        <v>89</v>
      </c>
      <c r="V19" s="26">
        <v>0</v>
      </c>
      <c r="W19" s="26">
        <v>3</v>
      </c>
      <c r="X19" s="26">
        <v>0</v>
      </c>
      <c r="Y19" s="15">
        <f t="shared" si="0"/>
        <v>135</v>
      </c>
      <c r="Z19" s="26">
        <v>2</v>
      </c>
    </row>
    <row r="20" spans="1:26" ht="16.2" x14ac:dyDescent="0.4">
      <c r="A20" s="13" t="s">
        <v>14</v>
      </c>
      <c r="B20" s="14" t="s">
        <v>11</v>
      </c>
      <c r="C20" s="14" t="s">
        <v>33</v>
      </c>
      <c r="D20" s="3"/>
      <c r="E20" s="20">
        <v>90</v>
      </c>
      <c r="F20" s="21">
        <v>1</v>
      </c>
      <c r="G20" s="17">
        <v>35</v>
      </c>
      <c r="H20" s="17">
        <v>58</v>
      </c>
      <c r="I20" s="16">
        <v>62</v>
      </c>
      <c r="J20" s="18">
        <v>100</v>
      </c>
      <c r="K20" s="26">
        <v>1</v>
      </c>
      <c r="L20" s="26">
        <v>0</v>
      </c>
      <c r="M20" s="26">
        <v>15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42</v>
      </c>
      <c r="V20" s="26">
        <v>2</v>
      </c>
      <c r="W20" s="26">
        <v>0</v>
      </c>
      <c r="X20" s="26">
        <v>0</v>
      </c>
      <c r="Y20" s="15">
        <f t="shared" si="0"/>
        <v>60</v>
      </c>
      <c r="Z20" s="26">
        <v>2</v>
      </c>
    </row>
    <row r="21" spans="1:26" ht="16.2" x14ac:dyDescent="0.4">
      <c r="A21" s="13" t="s">
        <v>14</v>
      </c>
      <c r="B21" s="14" t="s">
        <v>11</v>
      </c>
      <c r="C21" s="14" t="s">
        <v>34</v>
      </c>
      <c r="D21" s="3"/>
      <c r="E21" s="20">
        <v>358</v>
      </c>
      <c r="F21" s="21">
        <v>1</v>
      </c>
      <c r="G21" s="17">
        <v>72</v>
      </c>
      <c r="H21" s="17">
        <v>188</v>
      </c>
      <c r="I21" s="16">
        <v>237</v>
      </c>
      <c r="J21" s="18">
        <v>350</v>
      </c>
      <c r="K21" s="26">
        <v>7</v>
      </c>
      <c r="L21" s="26">
        <v>1</v>
      </c>
      <c r="M21" s="26">
        <v>60</v>
      </c>
      <c r="N21" s="26">
        <v>10</v>
      </c>
      <c r="O21" s="26">
        <v>0</v>
      </c>
      <c r="P21" s="26">
        <v>0</v>
      </c>
      <c r="Q21" s="26">
        <v>0</v>
      </c>
      <c r="R21" s="26">
        <v>1</v>
      </c>
      <c r="S21" s="26">
        <v>2</v>
      </c>
      <c r="T21" s="26">
        <v>18</v>
      </c>
      <c r="U21" s="26">
        <v>106</v>
      </c>
      <c r="V21" s="26">
        <v>0</v>
      </c>
      <c r="W21" s="26">
        <v>0</v>
      </c>
      <c r="X21" s="26">
        <v>1</v>
      </c>
      <c r="Y21" s="15">
        <f t="shared" si="0"/>
        <v>206</v>
      </c>
      <c r="Z21" s="26">
        <v>22</v>
      </c>
    </row>
    <row r="22" spans="1:26" ht="16.2" x14ac:dyDescent="0.4">
      <c r="A22" s="13" t="s">
        <v>14</v>
      </c>
      <c r="B22" s="14" t="s">
        <v>11</v>
      </c>
      <c r="C22" s="14" t="s">
        <v>35</v>
      </c>
      <c r="D22" s="3"/>
      <c r="E22" s="20">
        <v>220</v>
      </c>
      <c r="F22" s="21">
        <v>0</v>
      </c>
      <c r="G22" s="17">
        <v>52</v>
      </c>
      <c r="H22" s="17">
        <v>124</v>
      </c>
      <c r="I22" s="16">
        <v>159</v>
      </c>
      <c r="J22" s="18">
        <v>250</v>
      </c>
      <c r="K22" s="26">
        <v>9</v>
      </c>
      <c r="L22" s="26">
        <v>0</v>
      </c>
      <c r="M22" s="26">
        <v>33</v>
      </c>
      <c r="N22" s="26">
        <v>6</v>
      </c>
      <c r="O22" s="26">
        <v>0</v>
      </c>
      <c r="P22" s="26">
        <v>1</v>
      </c>
      <c r="Q22" s="26">
        <v>0</v>
      </c>
      <c r="R22" s="26">
        <v>0</v>
      </c>
      <c r="S22" s="26">
        <v>0</v>
      </c>
      <c r="T22" s="26">
        <v>2</v>
      </c>
      <c r="U22" s="26">
        <v>96</v>
      </c>
      <c r="V22" s="26">
        <v>0</v>
      </c>
      <c r="W22" s="26">
        <v>8</v>
      </c>
      <c r="X22" s="26">
        <v>0</v>
      </c>
      <c r="Y22" s="15">
        <f t="shared" si="0"/>
        <v>155</v>
      </c>
      <c r="Z22" s="26">
        <v>4</v>
      </c>
    </row>
    <row r="23" spans="1:26" ht="16.2" x14ac:dyDescent="0.4">
      <c r="A23" s="13" t="s">
        <v>14</v>
      </c>
      <c r="B23" s="14" t="s">
        <v>11</v>
      </c>
      <c r="C23" s="14" t="s">
        <v>36</v>
      </c>
      <c r="D23" s="3"/>
      <c r="E23" s="20">
        <v>130</v>
      </c>
      <c r="F23" s="21">
        <v>1</v>
      </c>
      <c r="G23" s="17">
        <v>52</v>
      </c>
      <c r="H23" s="17">
        <v>90</v>
      </c>
      <c r="I23" s="16">
        <v>99</v>
      </c>
      <c r="J23" s="18">
        <v>150</v>
      </c>
      <c r="K23" s="26">
        <v>4</v>
      </c>
      <c r="L23" s="26">
        <v>0</v>
      </c>
      <c r="M23" s="26">
        <v>9</v>
      </c>
      <c r="N23" s="26">
        <v>9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2</v>
      </c>
      <c r="U23" s="26">
        <v>72</v>
      </c>
      <c r="V23" s="26">
        <v>1</v>
      </c>
      <c r="W23" s="26">
        <v>0</v>
      </c>
      <c r="X23" s="26">
        <v>0</v>
      </c>
      <c r="Y23" s="15">
        <f t="shared" si="0"/>
        <v>97</v>
      </c>
      <c r="Z23" s="26">
        <v>2</v>
      </c>
    </row>
    <row r="24" spans="1:26" ht="16.2" x14ac:dyDescent="0.4">
      <c r="A24" s="13" t="s">
        <v>14</v>
      </c>
      <c r="B24" s="14" t="s">
        <v>11</v>
      </c>
      <c r="C24" s="14" t="s">
        <v>37</v>
      </c>
      <c r="D24" s="3"/>
      <c r="E24" s="20">
        <v>480</v>
      </c>
      <c r="F24" s="21">
        <v>2</v>
      </c>
      <c r="G24" s="17">
        <v>108</v>
      </c>
      <c r="H24" s="17">
        <v>264</v>
      </c>
      <c r="I24" s="16">
        <v>327</v>
      </c>
      <c r="J24" s="18">
        <v>500</v>
      </c>
      <c r="K24" s="26">
        <v>10</v>
      </c>
      <c r="L24" s="26">
        <v>1</v>
      </c>
      <c r="M24" s="26">
        <v>93</v>
      </c>
      <c r="N24" s="26">
        <v>13</v>
      </c>
      <c r="O24" s="26">
        <v>1</v>
      </c>
      <c r="P24" s="26">
        <v>1</v>
      </c>
      <c r="Q24" s="26">
        <v>6</v>
      </c>
      <c r="R24" s="26">
        <v>0</v>
      </c>
      <c r="S24" s="26">
        <v>1</v>
      </c>
      <c r="T24" s="26">
        <v>2</v>
      </c>
      <c r="U24" s="26">
        <v>182</v>
      </c>
      <c r="V24" s="26">
        <v>0</v>
      </c>
      <c r="W24" s="26">
        <v>7</v>
      </c>
      <c r="X24" s="26">
        <v>1</v>
      </c>
      <c r="Y24" s="15">
        <f t="shared" si="0"/>
        <v>318</v>
      </c>
      <c r="Z24" s="26">
        <v>9</v>
      </c>
    </row>
    <row r="25" spans="1:26" ht="16.2" x14ac:dyDescent="0.4">
      <c r="A25" s="13" t="s">
        <v>14</v>
      </c>
      <c r="B25" s="14" t="s">
        <v>11</v>
      </c>
      <c r="C25" s="14" t="s">
        <v>38</v>
      </c>
      <c r="D25" s="3"/>
      <c r="E25" s="20">
        <v>195</v>
      </c>
      <c r="F25" s="21">
        <v>0</v>
      </c>
      <c r="G25" s="17">
        <v>52</v>
      </c>
      <c r="H25" s="17">
        <v>109</v>
      </c>
      <c r="I25" s="16">
        <v>131</v>
      </c>
      <c r="J25" s="18">
        <v>200</v>
      </c>
      <c r="K25" s="26">
        <v>3</v>
      </c>
      <c r="L25" s="26">
        <v>1</v>
      </c>
      <c r="M25" s="26">
        <v>30</v>
      </c>
      <c r="N25" s="26">
        <v>8</v>
      </c>
      <c r="O25" s="26">
        <v>0</v>
      </c>
      <c r="P25" s="26">
        <v>0</v>
      </c>
      <c r="Q25" s="26">
        <v>1</v>
      </c>
      <c r="R25" s="26">
        <v>0</v>
      </c>
      <c r="S25" s="26">
        <v>1</v>
      </c>
      <c r="T25" s="26">
        <v>0</v>
      </c>
      <c r="U25" s="26">
        <v>84</v>
      </c>
      <c r="V25" s="26">
        <v>0</v>
      </c>
      <c r="W25" s="26">
        <v>1</v>
      </c>
      <c r="X25" s="26">
        <v>0</v>
      </c>
      <c r="Y25" s="15">
        <f t="shared" si="0"/>
        <v>129</v>
      </c>
      <c r="Z25" s="26">
        <v>2</v>
      </c>
    </row>
    <row r="26" spans="1:26" ht="16.2" x14ac:dyDescent="0.4">
      <c r="A26" s="13" t="s">
        <v>14</v>
      </c>
      <c r="B26" s="14" t="s">
        <v>11</v>
      </c>
      <c r="C26" s="14" t="s">
        <v>39</v>
      </c>
      <c r="D26" s="3"/>
      <c r="E26" s="20">
        <v>265</v>
      </c>
      <c r="F26" s="21">
        <v>1</v>
      </c>
      <c r="G26" s="17">
        <v>62</v>
      </c>
      <c r="H26" s="17">
        <v>162</v>
      </c>
      <c r="I26" s="16">
        <v>176</v>
      </c>
      <c r="J26" s="18">
        <v>300</v>
      </c>
      <c r="K26" s="26">
        <v>27</v>
      </c>
      <c r="L26" s="26">
        <v>0</v>
      </c>
      <c r="M26" s="26">
        <v>26</v>
      </c>
      <c r="N26" s="26">
        <v>12</v>
      </c>
      <c r="O26" s="26">
        <v>1</v>
      </c>
      <c r="P26" s="26">
        <v>0</v>
      </c>
      <c r="Q26" s="26">
        <v>1</v>
      </c>
      <c r="R26" s="26">
        <v>1</v>
      </c>
      <c r="S26" s="26">
        <v>0</v>
      </c>
      <c r="T26" s="26">
        <v>0</v>
      </c>
      <c r="U26" s="26">
        <v>93</v>
      </c>
      <c r="V26" s="26">
        <v>0</v>
      </c>
      <c r="W26" s="26">
        <v>13</v>
      </c>
      <c r="X26" s="26">
        <v>0</v>
      </c>
      <c r="Y26" s="15">
        <f t="shared" si="0"/>
        <v>174</v>
      </c>
      <c r="Z26" s="26">
        <v>2</v>
      </c>
    </row>
    <row r="27" spans="1:26" ht="16.2" x14ac:dyDescent="0.4">
      <c r="A27" s="13" t="s">
        <v>14</v>
      </c>
      <c r="B27" s="14" t="s">
        <v>11</v>
      </c>
      <c r="C27" s="14" t="s">
        <v>40</v>
      </c>
      <c r="D27" s="3"/>
      <c r="E27" s="20">
        <v>229</v>
      </c>
      <c r="F27" s="21">
        <v>1</v>
      </c>
      <c r="G27" s="17">
        <v>52</v>
      </c>
      <c r="H27" s="17">
        <v>115</v>
      </c>
      <c r="I27" s="16">
        <v>147</v>
      </c>
      <c r="J27" s="18">
        <v>250</v>
      </c>
      <c r="K27" s="26">
        <v>1</v>
      </c>
      <c r="L27" s="26">
        <v>0</v>
      </c>
      <c r="M27" s="26">
        <v>18</v>
      </c>
      <c r="N27" s="26">
        <v>60</v>
      </c>
      <c r="O27" s="26">
        <v>1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60</v>
      </c>
      <c r="V27" s="26">
        <v>1</v>
      </c>
      <c r="W27" s="26">
        <v>1</v>
      </c>
      <c r="X27" s="26">
        <v>0</v>
      </c>
      <c r="Y27" s="15">
        <f t="shared" si="0"/>
        <v>142</v>
      </c>
      <c r="Z27" s="26">
        <v>5</v>
      </c>
    </row>
    <row r="28" spans="1:26" ht="16.2" x14ac:dyDescent="0.4">
      <c r="A28" s="13" t="s">
        <v>14</v>
      </c>
      <c r="B28" s="14" t="s">
        <v>11</v>
      </c>
      <c r="C28" s="14" t="s">
        <v>41</v>
      </c>
      <c r="D28" s="3"/>
      <c r="E28" s="20">
        <v>266</v>
      </c>
      <c r="F28" s="21">
        <v>16</v>
      </c>
      <c r="G28" s="17">
        <v>90</v>
      </c>
      <c r="H28" s="17">
        <v>170</v>
      </c>
      <c r="I28" s="16">
        <v>189</v>
      </c>
      <c r="J28" s="18">
        <v>300</v>
      </c>
      <c r="K28" s="26">
        <v>7</v>
      </c>
      <c r="L28" s="26">
        <v>2</v>
      </c>
      <c r="M28" s="26">
        <v>43</v>
      </c>
      <c r="N28" s="26">
        <v>17</v>
      </c>
      <c r="O28" s="26">
        <v>1</v>
      </c>
      <c r="P28" s="26">
        <v>0</v>
      </c>
      <c r="Q28" s="26">
        <v>1</v>
      </c>
      <c r="R28" s="26">
        <v>1</v>
      </c>
      <c r="S28" s="26">
        <v>0</v>
      </c>
      <c r="T28" s="26">
        <v>3</v>
      </c>
      <c r="U28" s="26">
        <v>107</v>
      </c>
      <c r="V28" s="26">
        <v>0</v>
      </c>
      <c r="W28" s="26">
        <v>1</v>
      </c>
      <c r="X28" s="26">
        <v>0</v>
      </c>
      <c r="Y28" s="15">
        <f t="shared" si="0"/>
        <v>183</v>
      </c>
      <c r="Z28" s="26">
        <v>4</v>
      </c>
    </row>
    <row r="29" spans="1:26" ht="16.2" x14ac:dyDescent="0.4">
      <c r="A29" s="13" t="s">
        <v>14</v>
      </c>
      <c r="B29" s="14" t="s">
        <v>11</v>
      </c>
      <c r="C29" s="14" t="s">
        <v>42</v>
      </c>
      <c r="D29" s="3"/>
      <c r="E29" s="20">
        <v>490</v>
      </c>
      <c r="F29" s="21">
        <v>0</v>
      </c>
      <c r="G29" s="17">
        <v>106</v>
      </c>
      <c r="H29" s="17">
        <v>240</v>
      </c>
      <c r="I29" s="16">
        <v>313</v>
      </c>
      <c r="J29" s="18">
        <v>500</v>
      </c>
      <c r="K29" s="26">
        <v>15</v>
      </c>
      <c r="L29" s="26">
        <v>0</v>
      </c>
      <c r="M29" s="26">
        <v>51</v>
      </c>
      <c r="N29" s="26">
        <v>20</v>
      </c>
      <c r="O29" s="26">
        <v>3</v>
      </c>
      <c r="P29" s="26">
        <v>2</v>
      </c>
      <c r="Q29" s="26">
        <v>0</v>
      </c>
      <c r="R29" s="26">
        <v>0</v>
      </c>
      <c r="S29" s="26">
        <v>0</v>
      </c>
      <c r="T29" s="26">
        <v>6</v>
      </c>
      <c r="U29" s="26">
        <v>203</v>
      </c>
      <c r="V29" s="26">
        <v>4</v>
      </c>
      <c r="W29" s="26">
        <v>4</v>
      </c>
      <c r="X29" s="26">
        <v>0</v>
      </c>
      <c r="Y29" s="15">
        <f t="shared" si="0"/>
        <v>308</v>
      </c>
      <c r="Z29" s="26">
        <v>5</v>
      </c>
    </row>
    <row r="30" spans="1:26" ht="16.2" x14ac:dyDescent="0.4">
      <c r="A30" s="13" t="s">
        <v>14</v>
      </c>
      <c r="B30" s="14" t="s">
        <v>11</v>
      </c>
      <c r="C30" s="14" t="s">
        <v>43</v>
      </c>
      <c r="D30" s="3"/>
      <c r="E30" s="20">
        <v>262</v>
      </c>
      <c r="F30" s="21">
        <v>2</v>
      </c>
      <c r="G30" s="17">
        <v>78</v>
      </c>
      <c r="H30" s="17">
        <v>178</v>
      </c>
      <c r="I30" s="16">
        <v>192</v>
      </c>
      <c r="J30" s="18">
        <v>300</v>
      </c>
      <c r="K30" s="26">
        <v>6</v>
      </c>
      <c r="L30" s="26">
        <v>0</v>
      </c>
      <c r="M30" s="26">
        <v>21</v>
      </c>
      <c r="N30" s="26">
        <v>3</v>
      </c>
      <c r="O30" s="26">
        <v>1</v>
      </c>
      <c r="P30" s="26">
        <v>1</v>
      </c>
      <c r="Q30" s="26">
        <v>0</v>
      </c>
      <c r="R30" s="26">
        <v>1</v>
      </c>
      <c r="S30" s="26">
        <v>0</v>
      </c>
      <c r="T30" s="26">
        <v>5</v>
      </c>
      <c r="U30" s="26">
        <v>147</v>
      </c>
      <c r="V30" s="26">
        <v>0</v>
      </c>
      <c r="W30" s="26">
        <v>1</v>
      </c>
      <c r="X30" s="26">
        <v>0</v>
      </c>
      <c r="Y30" s="15">
        <f t="shared" si="0"/>
        <v>186</v>
      </c>
      <c r="Z30" s="26">
        <v>6</v>
      </c>
    </row>
    <row r="31" spans="1:26" ht="16.2" x14ac:dyDescent="0.4">
      <c r="A31" s="13" t="s">
        <v>14</v>
      </c>
      <c r="B31" s="14" t="s">
        <v>11</v>
      </c>
      <c r="C31" s="14" t="s">
        <v>44</v>
      </c>
      <c r="D31" s="3"/>
      <c r="E31" s="20">
        <v>210</v>
      </c>
      <c r="F31" s="21">
        <v>16</v>
      </c>
      <c r="G31" s="17">
        <v>64</v>
      </c>
      <c r="H31" s="17">
        <v>140</v>
      </c>
      <c r="I31" s="16">
        <v>150</v>
      </c>
      <c r="J31" s="18">
        <v>250</v>
      </c>
      <c r="K31" s="26">
        <v>1</v>
      </c>
      <c r="L31" s="26">
        <v>0</v>
      </c>
      <c r="M31" s="26">
        <v>5</v>
      </c>
      <c r="N31" s="26">
        <v>3</v>
      </c>
      <c r="O31" s="26">
        <v>2</v>
      </c>
      <c r="P31" s="26">
        <v>0</v>
      </c>
      <c r="Q31" s="26">
        <v>1</v>
      </c>
      <c r="R31" s="26">
        <v>0</v>
      </c>
      <c r="S31" s="26">
        <v>0</v>
      </c>
      <c r="T31" s="26">
        <v>1</v>
      </c>
      <c r="U31" s="26">
        <v>130</v>
      </c>
      <c r="V31" s="26">
        <v>0</v>
      </c>
      <c r="W31" s="26">
        <v>0</v>
      </c>
      <c r="X31" s="26">
        <v>0</v>
      </c>
      <c r="Y31" s="15">
        <f t="shared" si="0"/>
        <v>143</v>
      </c>
      <c r="Z31" s="26">
        <v>3</v>
      </c>
    </row>
    <row r="32" spans="1:26" ht="16.2" x14ac:dyDescent="0.4">
      <c r="A32" s="13" t="s">
        <v>14</v>
      </c>
      <c r="B32" s="14" t="s">
        <v>11</v>
      </c>
      <c r="C32" s="14" t="s">
        <v>45</v>
      </c>
      <c r="D32" s="3"/>
      <c r="E32" s="20">
        <v>310</v>
      </c>
      <c r="F32" s="21">
        <v>1</v>
      </c>
      <c r="G32" s="17">
        <v>91</v>
      </c>
      <c r="H32" s="17">
        <v>215</v>
      </c>
      <c r="I32" s="16">
        <v>233</v>
      </c>
      <c r="J32" s="18">
        <v>350</v>
      </c>
      <c r="K32" s="26">
        <v>1</v>
      </c>
      <c r="L32" s="26">
        <v>0</v>
      </c>
      <c r="M32" s="26">
        <v>22</v>
      </c>
      <c r="N32" s="26">
        <v>6</v>
      </c>
      <c r="O32" s="26">
        <v>0</v>
      </c>
      <c r="P32" s="26">
        <v>0</v>
      </c>
      <c r="Q32" s="26">
        <v>0</v>
      </c>
      <c r="R32" s="26">
        <v>1</v>
      </c>
      <c r="S32" s="26">
        <v>0</v>
      </c>
      <c r="T32" s="26">
        <v>4</v>
      </c>
      <c r="U32" s="26">
        <v>189</v>
      </c>
      <c r="V32" s="26">
        <v>0</v>
      </c>
      <c r="W32" s="26">
        <v>4</v>
      </c>
      <c r="X32" s="26">
        <v>0</v>
      </c>
      <c r="Y32" s="15">
        <f t="shared" si="0"/>
        <v>227</v>
      </c>
      <c r="Z32" s="26">
        <v>6</v>
      </c>
    </row>
    <row r="33" spans="1:26" ht="16.2" x14ac:dyDescent="0.4">
      <c r="A33" s="13" t="s">
        <v>14</v>
      </c>
      <c r="B33" s="14" t="s">
        <v>11</v>
      </c>
      <c r="C33" s="14" t="s">
        <v>46</v>
      </c>
      <c r="D33" s="3"/>
      <c r="E33" s="20">
        <v>197</v>
      </c>
      <c r="F33" s="21">
        <v>2</v>
      </c>
      <c r="G33" s="17">
        <v>49</v>
      </c>
      <c r="H33" s="17">
        <v>116</v>
      </c>
      <c r="I33" s="16">
        <v>122</v>
      </c>
      <c r="J33" s="18">
        <v>200</v>
      </c>
      <c r="K33" s="26">
        <v>0</v>
      </c>
      <c r="L33" s="26">
        <v>0</v>
      </c>
      <c r="M33" s="26">
        <v>16</v>
      </c>
      <c r="N33" s="26">
        <v>1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1</v>
      </c>
      <c r="U33" s="26">
        <v>99</v>
      </c>
      <c r="V33" s="26">
        <v>0</v>
      </c>
      <c r="W33" s="26">
        <v>1</v>
      </c>
      <c r="X33" s="26">
        <v>0</v>
      </c>
      <c r="Y33" s="15">
        <f t="shared" si="0"/>
        <v>118</v>
      </c>
      <c r="Z33" s="26">
        <v>1</v>
      </c>
    </row>
    <row r="34" spans="1:26" ht="16.2" x14ac:dyDescent="0.4">
      <c r="A34" s="13" t="s">
        <v>14</v>
      </c>
      <c r="B34" s="14" t="s">
        <v>11</v>
      </c>
      <c r="C34" s="14" t="s">
        <v>47</v>
      </c>
      <c r="D34" s="3"/>
      <c r="E34" s="20">
        <v>141</v>
      </c>
      <c r="F34" s="21">
        <v>2</v>
      </c>
      <c r="G34" s="17">
        <v>25</v>
      </c>
      <c r="H34" s="17">
        <v>56</v>
      </c>
      <c r="I34" s="16">
        <v>99</v>
      </c>
      <c r="J34" s="18">
        <v>150</v>
      </c>
      <c r="K34" s="26">
        <v>6</v>
      </c>
      <c r="L34" s="26">
        <v>0</v>
      </c>
      <c r="M34" s="26">
        <v>25</v>
      </c>
      <c r="N34" s="26">
        <v>1</v>
      </c>
      <c r="O34" s="26">
        <v>0</v>
      </c>
      <c r="P34" s="26">
        <v>1</v>
      </c>
      <c r="Q34" s="26">
        <v>0</v>
      </c>
      <c r="R34" s="26">
        <v>1</v>
      </c>
      <c r="S34" s="26">
        <v>0</v>
      </c>
      <c r="T34" s="26">
        <v>0</v>
      </c>
      <c r="U34" s="26">
        <v>55</v>
      </c>
      <c r="V34" s="26">
        <v>1</v>
      </c>
      <c r="W34" s="26">
        <v>4</v>
      </c>
      <c r="X34" s="26">
        <v>0</v>
      </c>
      <c r="Y34" s="15">
        <f t="shared" ref="Y34:Y51" si="1">SUM(K34:X34)</f>
        <v>94</v>
      </c>
      <c r="Z34" s="26">
        <v>5</v>
      </c>
    </row>
    <row r="35" spans="1:26" ht="16.2" x14ac:dyDescent="0.4">
      <c r="A35" s="13" t="s">
        <v>14</v>
      </c>
      <c r="B35" s="14" t="s">
        <v>11</v>
      </c>
      <c r="C35" s="14" t="s">
        <v>48</v>
      </c>
      <c r="D35" s="3"/>
      <c r="E35" s="20">
        <v>252</v>
      </c>
      <c r="F35" s="21">
        <v>0</v>
      </c>
      <c r="G35" s="17">
        <v>52</v>
      </c>
      <c r="H35" s="17">
        <v>124</v>
      </c>
      <c r="I35" s="16">
        <v>182</v>
      </c>
      <c r="J35" s="18">
        <v>250</v>
      </c>
      <c r="K35" s="26">
        <v>5</v>
      </c>
      <c r="L35" s="26">
        <v>0</v>
      </c>
      <c r="M35" s="26">
        <v>42</v>
      </c>
      <c r="N35" s="26">
        <v>5</v>
      </c>
      <c r="O35" s="26">
        <v>0</v>
      </c>
      <c r="P35" s="26">
        <v>0</v>
      </c>
      <c r="Q35" s="26">
        <v>0</v>
      </c>
      <c r="R35" s="26">
        <v>1</v>
      </c>
      <c r="S35" s="26">
        <v>0</v>
      </c>
      <c r="T35" s="26">
        <v>2</v>
      </c>
      <c r="U35" s="26">
        <v>113</v>
      </c>
      <c r="V35" s="26">
        <v>0</v>
      </c>
      <c r="W35" s="26">
        <v>8</v>
      </c>
      <c r="X35" s="26">
        <v>2</v>
      </c>
      <c r="Y35" s="15">
        <f t="shared" si="1"/>
        <v>178</v>
      </c>
      <c r="Z35" s="26">
        <v>4</v>
      </c>
    </row>
    <row r="36" spans="1:26" ht="16.2" x14ac:dyDescent="0.4">
      <c r="A36" s="13" t="s">
        <v>14</v>
      </c>
      <c r="B36" s="14" t="s">
        <v>11</v>
      </c>
      <c r="C36" s="14" t="s">
        <v>49</v>
      </c>
      <c r="D36" s="3"/>
      <c r="E36" s="20">
        <v>192</v>
      </c>
      <c r="F36" s="21">
        <v>1</v>
      </c>
      <c r="G36" s="17">
        <v>43</v>
      </c>
      <c r="H36" s="17">
        <v>86</v>
      </c>
      <c r="I36" s="16">
        <v>103</v>
      </c>
      <c r="J36" s="18">
        <v>200</v>
      </c>
      <c r="K36" s="26">
        <v>2</v>
      </c>
      <c r="L36" s="26">
        <v>0</v>
      </c>
      <c r="M36" s="26">
        <v>10</v>
      </c>
      <c r="N36" s="26">
        <v>7</v>
      </c>
      <c r="O36" s="26">
        <v>1</v>
      </c>
      <c r="P36" s="26">
        <v>0</v>
      </c>
      <c r="Q36" s="26">
        <v>0</v>
      </c>
      <c r="R36" s="26">
        <v>0</v>
      </c>
      <c r="S36" s="26">
        <v>0</v>
      </c>
      <c r="T36" s="26">
        <v>1</v>
      </c>
      <c r="U36" s="26">
        <v>80</v>
      </c>
      <c r="V36" s="26">
        <v>0</v>
      </c>
      <c r="W36" s="26">
        <v>2</v>
      </c>
      <c r="X36" s="26">
        <v>0</v>
      </c>
      <c r="Y36" s="15">
        <f t="shared" si="1"/>
        <v>103</v>
      </c>
      <c r="Z36" s="26">
        <v>0</v>
      </c>
    </row>
    <row r="37" spans="1:26" ht="16.2" x14ac:dyDescent="0.4">
      <c r="A37" s="13" t="s">
        <v>14</v>
      </c>
      <c r="B37" s="14" t="s">
        <v>11</v>
      </c>
      <c r="C37" s="14" t="s">
        <v>50</v>
      </c>
      <c r="D37" s="3"/>
      <c r="E37" s="20">
        <v>323</v>
      </c>
      <c r="F37" s="21">
        <v>0</v>
      </c>
      <c r="G37" s="17">
        <v>62</v>
      </c>
      <c r="H37" s="17">
        <v>140</v>
      </c>
      <c r="I37" s="16">
        <v>181</v>
      </c>
      <c r="J37" s="18">
        <v>350</v>
      </c>
      <c r="K37" s="26">
        <v>1</v>
      </c>
      <c r="L37" s="26">
        <v>0</v>
      </c>
      <c r="M37" s="26">
        <v>46</v>
      </c>
      <c r="N37" s="26">
        <v>3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1</v>
      </c>
      <c r="U37" s="26">
        <v>124</v>
      </c>
      <c r="V37" s="26">
        <v>1</v>
      </c>
      <c r="W37" s="26">
        <v>2</v>
      </c>
      <c r="X37" s="26">
        <v>0</v>
      </c>
      <c r="Y37" s="15">
        <f t="shared" si="1"/>
        <v>178</v>
      </c>
      <c r="Z37" s="26">
        <v>3</v>
      </c>
    </row>
    <row r="38" spans="1:26" ht="16.2" x14ac:dyDescent="0.4">
      <c r="A38" s="13" t="s">
        <v>14</v>
      </c>
      <c r="B38" s="14" t="s">
        <v>11</v>
      </c>
      <c r="C38" s="14" t="s">
        <v>51</v>
      </c>
      <c r="D38" s="3"/>
      <c r="E38" s="20">
        <v>255</v>
      </c>
      <c r="F38" s="21">
        <v>1</v>
      </c>
      <c r="G38" s="17">
        <v>73</v>
      </c>
      <c r="H38" s="17">
        <v>123</v>
      </c>
      <c r="I38" s="16">
        <v>140</v>
      </c>
      <c r="J38" s="18">
        <v>300</v>
      </c>
      <c r="K38" s="26">
        <v>4</v>
      </c>
      <c r="L38" s="26">
        <v>0</v>
      </c>
      <c r="M38" s="26">
        <v>39</v>
      </c>
      <c r="N38" s="26">
        <v>4</v>
      </c>
      <c r="O38" s="26">
        <v>0</v>
      </c>
      <c r="P38" s="26">
        <v>0</v>
      </c>
      <c r="Q38" s="26">
        <v>0</v>
      </c>
      <c r="R38" s="26">
        <v>0</v>
      </c>
      <c r="S38" s="26">
        <v>1</v>
      </c>
      <c r="T38" s="26">
        <v>0</v>
      </c>
      <c r="U38" s="26">
        <v>83</v>
      </c>
      <c r="V38" s="26">
        <v>0</v>
      </c>
      <c r="W38" s="26">
        <v>1</v>
      </c>
      <c r="X38" s="26">
        <v>0</v>
      </c>
      <c r="Y38" s="15">
        <f t="shared" si="1"/>
        <v>132</v>
      </c>
      <c r="Z38" s="26">
        <v>8</v>
      </c>
    </row>
    <row r="39" spans="1:26" ht="16.2" x14ac:dyDescent="0.4">
      <c r="A39" s="13" t="s">
        <v>14</v>
      </c>
      <c r="B39" s="14" t="s">
        <v>11</v>
      </c>
      <c r="C39" s="14" t="s">
        <v>52</v>
      </c>
      <c r="D39" s="3"/>
      <c r="E39" s="20">
        <v>450</v>
      </c>
      <c r="F39" s="21">
        <v>4</v>
      </c>
      <c r="G39" s="17">
        <v>72</v>
      </c>
      <c r="H39" s="17">
        <v>194</v>
      </c>
      <c r="I39" s="16">
        <v>288</v>
      </c>
      <c r="J39" s="18">
        <v>450</v>
      </c>
      <c r="K39" s="26">
        <v>10</v>
      </c>
      <c r="L39" s="26">
        <v>0</v>
      </c>
      <c r="M39" s="26">
        <v>74</v>
      </c>
      <c r="N39" s="26">
        <v>5</v>
      </c>
      <c r="O39" s="26">
        <v>2</v>
      </c>
      <c r="P39" s="26">
        <v>1</v>
      </c>
      <c r="Q39" s="26">
        <v>0</v>
      </c>
      <c r="R39" s="26">
        <v>10</v>
      </c>
      <c r="S39" s="26">
        <v>0</v>
      </c>
      <c r="T39" s="26">
        <v>4</v>
      </c>
      <c r="U39" s="26">
        <v>158</v>
      </c>
      <c r="V39" s="26">
        <v>1</v>
      </c>
      <c r="W39" s="26">
        <v>7</v>
      </c>
      <c r="X39" s="26">
        <v>1</v>
      </c>
      <c r="Y39" s="15">
        <f t="shared" si="1"/>
        <v>273</v>
      </c>
      <c r="Z39" s="26">
        <v>15</v>
      </c>
    </row>
    <row r="40" spans="1:26" ht="16.2" x14ac:dyDescent="0.4">
      <c r="A40" s="13" t="s">
        <v>14</v>
      </c>
      <c r="B40" s="14" t="s">
        <v>11</v>
      </c>
      <c r="C40" s="14" t="s">
        <v>53</v>
      </c>
      <c r="D40" s="3"/>
      <c r="E40" s="20">
        <v>487</v>
      </c>
      <c r="F40" s="21">
        <v>1</v>
      </c>
      <c r="G40" s="17">
        <v>74</v>
      </c>
      <c r="H40" s="17">
        <v>233</v>
      </c>
      <c r="I40" s="16">
        <v>309</v>
      </c>
      <c r="J40" s="18">
        <v>500</v>
      </c>
      <c r="K40" s="26">
        <v>6</v>
      </c>
      <c r="L40" s="26">
        <v>1</v>
      </c>
      <c r="M40" s="26">
        <v>78</v>
      </c>
      <c r="N40" s="26">
        <v>10</v>
      </c>
      <c r="O40" s="26">
        <v>0</v>
      </c>
      <c r="P40" s="26">
        <v>3</v>
      </c>
      <c r="Q40" s="26">
        <v>0</v>
      </c>
      <c r="R40" s="26">
        <v>3</v>
      </c>
      <c r="S40" s="26">
        <v>1</v>
      </c>
      <c r="T40" s="26">
        <v>3</v>
      </c>
      <c r="U40" s="26">
        <v>181</v>
      </c>
      <c r="V40" s="26">
        <v>1</v>
      </c>
      <c r="W40" s="26">
        <v>12</v>
      </c>
      <c r="X40" s="26">
        <v>0</v>
      </c>
      <c r="Y40" s="15">
        <f t="shared" si="1"/>
        <v>299</v>
      </c>
      <c r="Z40" s="26">
        <v>10</v>
      </c>
    </row>
    <row r="41" spans="1:26" ht="16.2" x14ac:dyDescent="0.4">
      <c r="A41" s="13" t="s">
        <v>14</v>
      </c>
      <c r="B41" s="14" t="s">
        <v>11</v>
      </c>
      <c r="C41" s="14" t="s">
        <v>54</v>
      </c>
      <c r="D41" s="3"/>
      <c r="E41" s="20">
        <v>265</v>
      </c>
      <c r="F41" s="21">
        <v>1</v>
      </c>
      <c r="G41" s="17">
        <v>55</v>
      </c>
      <c r="H41" s="17">
        <v>131</v>
      </c>
      <c r="I41" s="16">
        <v>163</v>
      </c>
      <c r="J41" s="18">
        <v>300</v>
      </c>
      <c r="K41" s="26">
        <v>8</v>
      </c>
      <c r="L41" s="26">
        <v>0</v>
      </c>
      <c r="M41" s="26">
        <v>34</v>
      </c>
      <c r="N41" s="26">
        <v>6</v>
      </c>
      <c r="O41" s="26">
        <v>0</v>
      </c>
      <c r="P41" s="26">
        <v>0</v>
      </c>
      <c r="Q41" s="26">
        <v>0</v>
      </c>
      <c r="R41" s="26">
        <v>7</v>
      </c>
      <c r="S41" s="26">
        <v>0</v>
      </c>
      <c r="T41" s="26">
        <v>1</v>
      </c>
      <c r="U41" s="26">
        <v>99</v>
      </c>
      <c r="V41" s="26">
        <v>0</v>
      </c>
      <c r="W41" s="26">
        <v>2</v>
      </c>
      <c r="X41" s="26">
        <v>0</v>
      </c>
      <c r="Y41" s="15">
        <f t="shared" si="1"/>
        <v>157</v>
      </c>
      <c r="Z41" s="26">
        <v>6</v>
      </c>
    </row>
    <row r="42" spans="1:26" ht="16.2" x14ac:dyDescent="0.4">
      <c r="A42" s="13" t="s">
        <v>14</v>
      </c>
      <c r="B42" s="14" t="s">
        <v>11</v>
      </c>
      <c r="C42" s="14" t="s">
        <v>55</v>
      </c>
      <c r="D42" s="3"/>
      <c r="E42" s="20">
        <v>371</v>
      </c>
      <c r="F42" s="21">
        <v>0</v>
      </c>
      <c r="G42" s="17">
        <v>75</v>
      </c>
      <c r="H42" s="17">
        <v>214</v>
      </c>
      <c r="I42" s="16">
        <v>257</v>
      </c>
      <c r="J42" s="18">
        <v>400</v>
      </c>
      <c r="K42" s="26">
        <v>18</v>
      </c>
      <c r="L42" s="26">
        <v>2</v>
      </c>
      <c r="M42" s="26">
        <v>99</v>
      </c>
      <c r="N42" s="26">
        <v>12</v>
      </c>
      <c r="O42" s="26">
        <v>0</v>
      </c>
      <c r="P42" s="26">
        <v>0</v>
      </c>
      <c r="Q42" s="26">
        <v>1</v>
      </c>
      <c r="R42" s="26">
        <v>0</v>
      </c>
      <c r="S42" s="26">
        <v>0</v>
      </c>
      <c r="T42" s="26">
        <v>0</v>
      </c>
      <c r="U42" s="26">
        <v>109</v>
      </c>
      <c r="V42" s="26">
        <v>4</v>
      </c>
      <c r="W42" s="26">
        <v>5</v>
      </c>
      <c r="X42" s="26">
        <v>0</v>
      </c>
      <c r="Y42" s="15">
        <f t="shared" si="1"/>
        <v>250</v>
      </c>
      <c r="Z42" s="26">
        <v>7</v>
      </c>
    </row>
    <row r="43" spans="1:26" ht="16.2" x14ac:dyDescent="0.4">
      <c r="A43" s="13" t="s">
        <v>14</v>
      </c>
      <c r="B43" s="14" t="s">
        <v>11</v>
      </c>
      <c r="C43" s="14" t="s">
        <v>56</v>
      </c>
      <c r="D43" s="3"/>
      <c r="E43" s="20">
        <v>369</v>
      </c>
      <c r="F43" s="21">
        <v>1</v>
      </c>
      <c r="G43" s="17">
        <v>61</v>
      </c>
      <c r="H43" s="17">
        <v>181</v>
      </c>
      <c r="I43" s="16">
        <v>242</v>
      </c>
      <c r="J43" s="18">
        <v>400</v>
      </c>
      <c r="K43" s="26">
        <v>21</v>
      </c>
      <c r="L43" s="26">
        <v>2</v>
      </c>
      <c r="M43" s="26">
        <v>55</v>
      </c>
      <c r="N43" s="26">
        <v>12</v>
      </c>
      <c r="O43" s="26">
        <v>4</v>
      </c>
      <c r="P43" s="26">
        <v>4</v>
      </c>
      <c r="Q43" s="26">
        <v>0</v>
      </c>
      <c r="R43" s="26">
        <v>1</v>
      </c>
      <c r="S43" s="26">
        <v>0</v>
      </c>
      <c r="T43" s="26">
        <v>2</v>
      </c>
      <c r="U43" s="26">
        <v>123</v>
      </c>
      <c r="V43" s="26">
        <v>0</v>
      </c>
      <c r="W43" s="26">
        <v>4</v>
      </c>
      <c r="X43" s="26">
        <v>3</v>
      </c>
      <c r="Y43" s="15">
        <f t="shared" si="1"/>
        <v>231</v>
      </c>
      <c r="Z43" s="26">
        <v>11</v>
      </c>
    </row>
    <row r="44" spans="1:26" ht="16.2" x14ac:dyDescent="0.4">
      <c r="A44" s="13" t="s">
        <v>14</v>
      </c>
      <c r="B44" s="14" t="s">
        <v>11</v>
      </c>
      <c r="C44" s="14" t="s">
        <v>57</v>
      </c>
      <c r="D44" s="3"/>
      <c r="E44" s="20">
        <v>416</v>
      </c>
      <c r="F44" s="21">
        <v>0</v>
      </c>
      <c r="G44" s="17">
        <v>64</v>
      </c>
      <c r="H44" s="17">
        <v>227</v>
      </c>
      <c r="I44" s="16">
        <v>289</v>
      </c>
      <c r="J44" s="18">
        <v>450</v>
      </c>
      <c r="K44" s="26">
        <v>4</v>
      </c>
      <c r="L44" s="26">
        <v>0</v>
      </c>
      <c r="M44" s="26">
        <v>84</v>
      </c>
      <c r="N44" s="26">
        <v>9</v>
      </c>
      <c r="O44" s="26">
        <v>2</v>
      </c>
      <c r="P44" s="26">
        <v>1</v>
      </c>
      <c r="Q44" s="26">
        <v>0</v>
      </c>
      <c r="R44" s="26">
        <v>1</v>
      </c>
      <c r="S44" s="26">
        <v>0</v>
      </c>
      <c r="T44" s="26">
        <v>1</v>
      </c>
      <c r="U44" s="26">
        <v>178</v>
      </c>
      <c r="V44" s="26">
        <v>0</v>
      </c>
      <c r="W44" s="26">
        <v>3</v>
      </c>
      <c r="X44" s="26">
        <v>0</v>
      </c>
      <c r="Y44" s="15">
        <f t="shared" si="1"/>
        <v>283</v>
      </c>
      <c r="Z44" s="26">
        <v>6</v>
      </c>
    </row>
    <row r="45" spans="1:26" ht="16.2" x14ac:dyDescent="0.4">
      <c r="A45" s="13" t="s">
        <v>14</v>
      </c>
      <c r="B45" s="14" t="s">
        <v>11</v>
      </c>
      <c r="C45" s="14" t="s">
        <v>58</v>
      </c>
      <c r="D45" s="3"/>
      <c r="E45" s="20">
        <v>161</v>
      </c>
      <c r="F45" s="21">
        <v>0</v>
      </c>
      <c r="G45" s="17">
        <v>46</v>
      </c>
      <c r="H45" s="17">
        <v>105</v>
      </c>
      <c r="I45" s="16">
        <v>121</v>
      </c>
      <c r="J45" s="18">
        <v>200</v>
      </c>
      <c r="K45" s="26">
        <v>4</v>
      </c>
      <c r="L45" s="26">
        <v>0</v>
      </c>
      <c r="M45" s="26">
        <v>29</v>
      </c>
      <c r="N45" s="26">
        <v>12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3</v>
      </c>
      <c r="U45" s="26">
        <v>68</v>
      </c>
      <c r="V45" s="26">
        <v>0</v>
      </c>
      <c r="W45" s="26">
        <v>1</v>
      </c>
      <c r="X45" s="26">
        <v>0</v>
      </c>
      <c r="Y45" s="15">
        <f t="shared" si="1"/>
        <v>117</v>
      </c>
      <c r="Z45" s="26">
        <v>4</v>
      </c>
    </row>
    <row r="46" spans="1:26" ht="16.2" x14ac:dyDescent="0.4">
      <c r="A46" s="13" t="s">
        <v>14</v>
      </c>
      <c r="B46" s="14" t="s">
        <v>11</v>
      </c>
      <c r="C46" s="14" t="s">
        <v>59</v>
      </c>
      <c r="D46" s="3"/>
      <c r="E46" s="20">
        <v>269</v>
      </c>
      <c r="F46" s="21">
        <v>0</v>
      </c>
      <c r="G46" s="17">
        <v>36</v>
      </c>
      <c r="H46" s="17">
        <v>145</v>
      </c>
      <c r="I46" s="16">
        <v>187</v>
      </c>
      <c r="J46" s="18">
        <v>300</v>
      </c>
      <c r="K46" s="26">
        <v>3</v>
      </c>
      <c r="L46" s="26">
        <v>0</v>
      </c>
      <c r="M46" s="26">
        <v>64</v>
      </c>
      <c r="N46" s="26">
        <v>8</v>
      </c>
      <c r="O46" s="26">
        <v>0</v>
      </c>
      <c r="P46" s="26">
        <v>0</v>
      </c>
      <c r="Q46" s="26">
        <v>1</v>
      </c>
      <c r="R46" s="26">
        <v>3</v>
      </c>
      <c r="S46" s="26">
        <v>2</v>
      </c>
      <c r="T46" s="26">
        <v>3</v>
      </c>
      <c r="U46" s="26">
        <v>87</v>
      </c>
      <c r="V46" s="26">
        <v>0</v>
      </c>
      <c r="W46" s="26">
        <v>9</v>
      </c>
      <c r="X46" s="26">
        <v>0</v>
      </c>
      <c r="Y46" s="15">
        <f t="shared" si="1"/>
        <v>180</v>
      </c>
      <c r="Z46" s="26">
        <v>7</v>
      </c>
    </row>
    <row r="47" spans="1:26" ht="16.2" x14ac:dyDescent="0.4">
      <c r="A47" s="13" t="s">
        <v>14</v>
      </c>
      <c r="B47" s="14" t="s">
        <v>11</v>
      </c>
      <c r="C47" s="14" t="s">
        <v>60</v>
      </c>
      <c r="D47" s="3"/>
      <c r="E47" s="20">
        <v>282</v>
      </c>
      <c r="F47" s="21">
        <v>4</v>
      </c>
      <c r="G47" s="17">
        <v>62</v>
      </c>
      <c r="H47" s="17">
        <v>190</v>
      </c>
      <c r="I47" s="16">
        <v>211</v>
      </c>
      <c r="J47" s="18">
        <v>300</v>
      </c>
      <c r="K47" s="26">
        <v>2</v>
      </c>
      <c r="L47" s="26">
        <v>0</v>
      </c>
      <c r="M47" s="26">
        <v>35</v>
      </c>
      <c r="N47" s="26">
        <v>9</v>
      </c>
      <c r="O47" s="26">
        <v>2</v>
      </c>
      <c r="P47" s="26">
        <v>0</v>
      </c>
      <c r="Q47" s="26">
        <v>0</v>
      </c>
      <c r="R47" s="26">
        <v>0</v>
      </c>
      <c r="S47" s="26">
        <v>0</v>
      </c>
      <c r="T47" s="26">
        <v>3</v>
      </c>
      <c r="U47" s="26">
        <v>150</v>
      </c>
      <c r="V47" s="26">
        <v>1</v>
      </c>
      <c r="W47" s="26">
        <v>2</v>
      </c>
      <c r="X47" s="26">
        <v>1</v>
      </c>
      <c r="Y47" s="15">
        <f t="shared" si="1"/>
        <v>205</v>
      </c>
      <c r="Z47" s="26">
        <v>6</v>
      </c>
    </row>
    <row r="48" spans="1:26" ht="16.2" x14ac:dyDescent="0.4">
      <c r="A48" s="13" t="s">
        <v>14</v>
      </c>
      <c r="B48" s="14" t="s">
        <v>11</v>
      </c>
      <c r="C48" s="14" t="s">
        <v>61</v>
      </c>
      <c r="D48" s="3"/>
      <c r="E48" s="20">
        <v>202</v>
      </c>
      <c r="F48" s="21">
        <v>1</v>
      </c>
      <c r="G48" s="17">
        <v>51</v>
      </c>
      <c r="H48" s="17">
        <v>124</v>
      </c>
      <c r="I48" s="16">
        <v>153</v>
      </c>
      <c r="J48" s="18">
        <v>200</v>
      </c>
      <c r="K48" s="26">
        <v>10</v>
      </c>
      <c r="L48" s="26">
        <v>1</v>
      </c>
      <c r="M48" s="26">
        <v>37</v>
      </c>
      <c r="N48" s="26">
        <v>2</v>
      </c>
      <c r="O48" s="26">
        <v>1</v>
      </c>
      <c r="P48" s="26">
        <v>1</v>
      </c>
      <c r="Q48" s="26">
        <v>0</v>
      </c>
      <c r="R48" s="26">
        <v>1</v>
      </c>
      <c r="S48" s="26">
        <v>0</v>
      </c>
      <c r="T48" s="26">
        <v>1</v>
      </c>
      <c r="U48" s="26">
        <v>90</v>
      </c>
      <c r="V48" s="26">
        <v>0</v>
      </c>
      <c r="W48" s="26">
        <v>4</v>
      </c>
      <c r="X48" s="26">
        <v>0</v>
      </c>
      <c r="Y48" s="15">
        <f t="shared" si="1"/>
        <v>148</v>
      </c>
      <c r="Z48" s="26">
        <v>5</v>
      </c>
    </row>
    <row r="49" spans="1:26" ht="16.2" x14ac:dyDescent="0.4">
      <c r="A49" s="13" t="s">
        <v>14</v>
      </c>
      <c r="B49" s="14" t="s">
        <v>11</v>
      </c>
      <c r="C49" s="14" t="s">
        <v>62</v>
      </c>
      <c r="D49" s="3"/>
      <c r="E49" s="20">
        <v>214</v>
      </c>
      <c r="F49" s="21">
        <v>2</v>
      </c>
      <c r="G49" s="17">
        <v>44</v>
      </c>
      <c r="H49" s="17">
        <v>120</v>
      </c>
      <c r="I49" s="16">
        <v>173</v>
      </c>
      <c r="J49" s="18">
        <v>250</v>
      </c>
      <c r="K49" s="26">
        <v>4</v>
      </c>
      <c r="L49" s="26">
        <v>0</v>
      </c>
      <c r="M49" s="26">
        <v>52</v>
      </c>
      <c r="N49" s="26">
        <v>6</v>
      </c>
      <c r="O49" s="26">
        <v>1</v>
      </c>
      <c r="P49" s="26">
        <v>0</v>
      </c>
      <c r="Q49" s="26">
        <v>0</v>
      </c>
      <c r="R49" s="26">
        <v>0</v>
      </c>
      <c r="S49" s="26">
        <v>0</v>
      </c>
      <c r="T49" s="26">
        <v>3</v>
      </c>
      <c r="U49" s="26">
        <v>83</v>
      </c>
      <c r="V49" s="26">
        <v>0</v>
      </c>
      <c r="W49" s="26">
        <v>7</v>
      </c>
      <c r="X49" s="26">
        <v>0</v>
      </c>
      <c r="Y49" s="15">
        <f t="shared" si="1"/>
        <v>156</v>
      </c>
      <c r="Z49" s="26">
        <v>16</v>
      </c>
    </row>
    <row r="50" spans="1:26" ht="16.2" x14ac:dyDescent="0.4">
      <c r="A50" s="13" t="s">
        <v>14</v>
      </c>
      <c r="B50" s="14" t="s">
        <v>11</v>
      </c>
      <c r="C50" s="14" t="s">
        <v>63</v>
      </c>
      <c r="D50" s="3"/>
      <c r="E50" s="20">
        <v>103</v>
      </c>
      <c r="F50" s="21">
        <v>1</v>
      </c>
      <c r="G50" s="17">
        <v>25</v>
      </c>
      <c r="H50" s="17">
        <v>56</v>
      </c>
      <c r="I50" s="16">
        <v>61</v>
      </c>
      <c r="J50" s="18">
        <v>100</v>
      </c>
      <c r="K50" s="26">
        <v>1</v>
      </c>
      <c r="L50" s="26">
        <v>0</v>
      </c>
      <c r="M50" s="26">
        <v>15</v>
      </c>
      <c r="N50" s="26">
        <v>5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1</v>
      </c>
      <c r="U50" s="26">
        <v>30</v>
      </c>
      <c r="V50" s="26">
        <v>0</v>
      </c>
      <c r="W50" s="26">
        <v>7</v>
      </c>
      <c r="X50" s="26">
        <v>0</v>
      </c>
      <c r="Y50" s="15">
        <f t="shared" si="1"/>
        <v>59</v>
      </c>
      <c r="Z50" s="26">
        <v>2</v>
      </c>
    </row>
    <row r="51" spans="1:26" ht="16.2" x14ac:dyDescent="0.4">
      <c r="A51" s="13" t="s">
        <v>14</v>
      </c>
      <c r="B51" s="14" t="s">
        <v>11</v>
      </c>
      <c r="C51" s="14" t="s">
        <v>85</v>
      </c>
      <c r="D51" s="3"/>
      <c r="E51" s="8"/>
      <c r="F51" s="15">
        <v>25</v>
      </c>
      <c r="G51" s="4"/>
      <c r="H51" s="4"/>
      <c r="I51" s="16">
        <v>19</v>
      </c>
      <c r="J51" s="24">
        <v>50</v>
      </c>
      <c r="K51" s="26">
        <v>1</v>
      </c>
      <c r="L51" s="26">
        <v>0</v>
      </c>
      <c r="M51" s="26">
        <v>3</v>
      </c>
      <c r="N51" s="26">
        <v>1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14</v>
      </c>
      <c r="V51" s="26">
        <v>0</v>
      </c>
      <c r="W51" s="26">
        <v>0</v>
      </c>
      <c r="X51" s="26">
        <v>0</v>
      </c>
      <c r="Y51" s="15">
        <f t="shared" si="1"/>
        <v>19</v>
      </c>
      <c r="Z51" s="26">
        <v>0</v>
      </c>
    </row>
    <row r="52" spans="1:26" s="2" customFormat="1" x14ac:dyDescent="0.3">
      <c r="B52" s="5" t="s">
        <v>7</v>
      </c>
      <c r="C52" s="5">
        <f>COUNTA(C2:C51)</f>
        <v>50</v>
      </c>
      <c r="D52" s="5"/>
      <c r="E52" s="9">
        <f t="shared" ref="E52:I52" si="2">SUM(E2:E51)</f>
        <v>15119</v>
      </c>
      <c r="F52" s="6">
        <f t="shared" si="2"/>
        <v>116</v>
      </c>
      <c r="G52" s="6">
        <f t="shared" si="2"/>
        <v>3192</v>
      </c>
      <c r="H52" s="6">
        <f t="shared" si="2"/>
        <v>8156</v>
      </c>
      <c r="I52" s="6">
        <f t="shared" si="2"/>
        <v>10078</v>
      </c>
      <c r="J52" s="22">
        <f>SUM(J2:J51)</f>
        <v>15950</v>
      </c>
      <c r="K52" s="27">
        <f>SUM(K2:K51)</f>
        <v>337</v>
      </c>
      <c r="L52" s="27">
        <f t="shared" ref="L52:W52" si="3">SUM(L2:L51)</f>
        <v>22</v>
      </c>
      <c r="M52" s="27">
        <f t="shared" si="3"/>
        <v>2510</v>
      </c>
      <c r="N52" s="27">
        <f t="shared" si="3"/>
        <v>419</v>
      </c>
      <c r="O52" s="27">
        <f t="shared" si="3"/>
        <v>39</v>
      </c>
      <c r="P52" s="27">
        <f t="shared" si="3"/>
        <v>28</v>
      </c>
      <c r="Q52" s="27">
        <f t="shared" si="3"/>
        <v>19</v>
      </c>
      <c r="R52" s="27">
        <f t="shared" si="3"/>
        <v>43</v>
      </c>
      <c r="S52" s="27">
        <f t="shared" si="3"/>
        <v>18</v>
      </c>
      <c r="T52" s="27">
        <f t="shared" si="3"/>
        <v>131</v>
      </c>
      <c r="U52" s="27">
        <f>SUM(U2:U51)</f>
        <v>5831</v>
      </c>
      <c r="V52" s="27">
        <f t="shared" si="3"/>
        <v>73</v>
      </c>
      <c r="W52" s="27">
        <f t="shared" si="3"/>
        <v>248</v>
      </c>
      <c r="X52" s="27">
        <f>SUM(X2:X51)</f>
        <v>14</v>
      </c>
      <c r="Y52" s="19">
        <f t="shared" ref="Y52" si="4">SUM(Y2:Y51)</f>
        <v>9732</v>
      </c>
      <c r="Z52" s="22">
        <f>SUM(Z2:Z51)</f>
        <v>318</v>
      </c>
    </row>
  </sheetData>
  <sheetProtection insertRows="0"/>
  <conditionalFormatting sqref="H2:I50">
    <cfRule type="expression" dxfId="1" priority="2">
      <formula>H2&lt;G2</formula>
    </cfRule>
  </conditionalFormatting>
  <conditionalFormatting sqref="H51:I51">
    <cfRule type="expression" dxfId="0" priority="1">
      <formula>H51&lt;G51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2</vt:i4>
      </vt:variant>
      <vt:variant>
        <vt:lpstr>დასათაურებული დიაპაზონები</vt:lpstr>
      </vt:variant>
      <vt:variant>
        <vt:i4>2</vt:i4>
      </vt:variant>
    </vt:vector>
  </HeadingPairs>
  <TitlesOfParts>
    <vt:vector size="4" baseType="lpstr">
      <vt:lpstr>პროპორციული</vt:lpstr>
      <vt:lpstr>მაჟორიტარული</vt:lpstr>
      <vt:lpstr>მაჟორიტარული!ამოსაბეჭდი_წარწერები</vt:lpstr>
      <vt:lpstr>პროპორციული!ამოსაბეჭდი_წარწერები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2021-04-12T20:29:44Z</dcterms:modified>
</cp:coreProperties>
</file>