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G:\My Drive\Election portal data sets\Election results\შედეგები\"/>
    </mc:Choice>
  </mc:AlternateContent>
  <xr:revisionPtr revIDLastSave="0" documentId="13_ncr:1_{337A05CB-4AAD-4207-AA3F-34D855968C31}" xr6:coauthVersionLast="46" xr6:coauthVersionMax="46" xr10:uidLastSave="{00000000-0000-0000-0000-000000000000}"/>
  <bookViews>
    <workbookView xWindow="-108" yWindow="-108" windowWidth="23256" windowHeight="12576" tabRatio="873" activeTab="1" xr2:uid="{00000000-000D-0000-FFFF-FFFF00000000}"/>
  </bookViews>
  <sheets>
    <sheet name="აჭარა-პრპორციული" sheetId="11" r:id="rId1"/>
    <sheet name="აჭარა -მაჟორიტარული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7" i="11" l="1"/>
  <c r="O45" i="12"/>
  <c r="Z45" i="12"/>
  <c r="X45" i="12"/>
  <c r="W45" i="12"/>
  <c r="V45" i="12"/>
  <c r="U45" i="12"/>
  <c r="T45" i="12"/>
  <c r="S45" i="12"/>
  <c r="R45" i="12"/>
  <c r="Q45" i="12"/>
  <c r="P45" i="12"/>
  <c r="N45" i="12"/>
  <c r="M45" i="12"/>
  <c r="L45" i="12"/>
  <c r="K45" i="12"/>
  <c r="I45" i="12"/>
  <c r="H45" i="12"/>
  <c r="G45" i="12"/>
  <c r="F45" i="12"/>
  <c r="E45" i="12"/>
  <c r="C45" i="12"/>
  <c r="Y44" i="12"/>
  <c r="Y43" i="12"/>
  <c r="Y42" i="12"/>
  <c r="Y41" i="12"/>
  <c r="Y40" i="12"/>
  <c r="Y39" i="12"/>
  <c r="Y38" i="12"/>
  <c r="Y37" i="12"/>
  <c r="Y36" i="12"/>
  <c r="Y35" i="12"/>
  <c r="Y34" i="12"/>
  <c r="Y33" i="12"/>
  <c r="Y32" i="12"/>
  <c r="Y31" i="12"/>
  <c r="Y30" i="12"/>
  <c r="Y29" i="12"/>
  <c r="Y28" i="12"/>
  <c r="Y27" i="12"/>
  <c r="Y26" i="12"/>
  <c r="Y25" i="12"/>
  <c r="Y24" i="12"/>
  <c r="Y23" i="12"/>
  <c r="Y22" i="12"/>
  <c r="Y21" i="12"/>
  <c r="Y20" i="12"/>
  <c r="Y19" i="12"/>
  <c r="Y18" i="12"/>
  <c r="Y17" i="12"/>
  <c r="Y16" i="12"/>
  <c r="Y15" i="12"/>
  <c r="Y14" i="12"/>
  <c r="Y13" i="12"/>
  <c r="Y12" i="12"/>
  <c r="Y11" i="12"/>
  <c r="Y10" i="12"/>
  <c r="Y9" i="12"/>
  <c r="Y8" i="12"/>
  <c r="Y7" i="12"/>
  <c r="Y6" i="12"/>
  <c r="Y5" i="12"/>
  <c r="Y4" i="12"/>
  <c r="Y3" i="12"/>
  <c r="Y2" i="12"/>
  <c r="AH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I45" i="11"/>
  <c r="H45" i="11"/>
  <c r="G45" i="11"/>
  <c r="F45" i="11"/>
  <c r="E45" i="11"/>
  <c r="C45" i="11"/>
  <c r="AG44" i="11"/>
  <c r="AG43" i="11"/>
  <c r="AG42" i="11"/>
  <c r="AG41" i="11"/>
  <c r="AG40" i="11"/>
  <c r="AG39" i="11"/>
  <c r="AG38" i="11"/>
  <c r="AG37" i="11"/>
  <c r="AG36" i="11"/>
  <c r="AG35" i="11"/>
  <c r="AG34" i="11"/>
  <c r="AG33" i="11"/>
  <c r="AG32" i="11"/>
  <c r="AG31" i="11"/>
  <c r="AG30" i="11"/>
  <c r="AG29" i="11"/>
  <c r="AG28" i="11"/>
  <c r="AG26" i="11"/>
  <c r="AG25" i="11"/>
  <c r="AG24" i="11"/>
  <c r="AG23" i="11"/>
  <c r="AG22" i="11"/>
  <c r="AG21" i="11"/>
  <c r="AG20" i="11"/>
  <c r="AG19" i="11"/>
  <c r="AG18" i="11"/>
  <c r="AG17" i="11"/>
  <c r="AG16" i="11"/>
  <c r="AG15" i="11"/>
  <c r="AG14" i="11"/>
  <c r="AG13" i="11"/>
  <c r="AG12" i="11"/>
  <c r="AG11" i="11"/>
  <c r="AG10" i="11"/>
  <c r="AG9" i="11"/>
  <c r="AG8" i="11"/>
  <c r="AG7" i="11"/>
  <c r="AG6" i="11"/>
  <c r="AG5" i="11"/>
  <c r="AG4" i="11"/>
  <c r="AG3" i="11"/>
  <c r="AG2" i="11"/>
  <c r="Y45" i="12" l="1"/>
  <c r="Q46" i="12" s="1"/>
  <c r="AG45" i="11"/>
  <c r="AE46" i="11" s="1"/>
  <c r="O46" i="12" l="1"/>
  <c r="N46" i="12"/>
  <c r="R46" i="12"/>
  <c r="T46" i="12"/>
  <c r="S46" i="12"/>
  <c r="P46" i="12"/>
  <c r="L46" i="12"/>
  <c r="W46" i="12"/>
  <c r="U46" i="12"/>
  <c r="V46" i="12"/>
  <c r="K46" i="12"/>
  <c r="X46" i="12"/>
  <c r="M46" i="12"/>
  <c r="T46" i="11"/>
  <c r="M46" i="11"/>
  <c r="N46" i="11"/>
  <c r="U46" i="11"/>
  <c r="AC46" i="11"/>
  <c r="V46" i="11"/>
  <c r="O46" i="11"/>
  <c r="W46" i="11"/>
  <c r="P46" i="11"/>
  <c r="X46" i="11"/>
  <c r="Q46" i="11"/>
  <c r="AD46" i="11"/>
  <c r="Y46" i="11"/>
  <c r="AB46" i="11"/>
  <c r="Z46" i="11"/>
  <c r="R46" i="11"/>
  <c r="AA46" i="11"/>
  <c r="AF46" i="11"/>
  <c r="S46" i="11"/>
  <c r="K46" i="11"/>
  <c r="L46" i="11"/>
  <c r="Y46" i="12" l="1"/>
  <c r="AG46" i="11"/>
</calcChain>
</file>

<file path=xl/sharedStrings.xml><?xml version="1.0" encoding="utf-8"?>
<sst xmlns="http://schemas.openxmlformats.org/spreadsheetml/2006/main" count="322" uniqueCount="95">
  <si>
    <t>უბანი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</si>
  <si>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</si>
  <si>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</si>
  <si>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</si>
  <si>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</si>
  <si>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მონაწილე</t>
  </si>
  <si>
    <t>ბათილი ბიულეტენები</t>
  </si>
  <si>
    <t>სულ</t>
  </si>
  <si>
    <t>ნამდვილი ბიულეტენები</t>
  </si>
  <si>
    <t>%</t>
  </si>
  <si>
    <t xml:space="preserve">მიღებული ბიულეტენები </t>
  </si>
  <si>
    <t>ოლქი</t>
  </si>
  <si>
    <t>83-ხელვაჩაური</t>
  </si>
  <si>
    <t>მიმაგრებული უბანი</t>
  </si>
  <si>
    <t>მაჟორიტარული ოლქი</t>
  </si>
  <si>
    <t>30</t>
  </si>
  <si>
    <t xml:space="preserve">30.83.01 </t>
  </si>
  <si>
    <t xml:space="preserve">30.83.02 </t>
  </si>
  <si>
    <t xml:space="preserve">30.83.03 </t>
  </si>
  <si>
    <t xml:space="preserve">30.83.04 </t>
  </si>
  <si>
    <t xml:space="preserve">30.83.05 </t>
  </si>
  <si>
    <t xml:space="preserve">30.83.06 </t>
  </si>
  <si>
    <t xml:space="preserve">30.83.07 </t>
  </si>
  <si>
    <t xml:space="preserve">30.83.12 </t>
  </si>
  <si>
    <t xml:space="preserve">30.83.13 </t>
  </si>
  <si>
    <t xml:space="preserve">30.83.14 </t>
  </si>
  <si>
    <t xml:space="preserve">30.83.15 </t>
  </si>
  <si>
    <t xml:space="preserve">30.83.16 </t>
  </si>
  <si>
    <t xml:space="preserve">30.83.17 </t>
  </si>
  <si>
    <t xml:space="preserve">30.83.18 </t>
  </si>
  <si>
    <t xml:space="preserve">30.83.19 </t>
  </si>
  <si>
    <t xml:space="preserve">30.83.20 </t>
  </si>
  <si>
    <t xml:space="preserve">30.83.21 </t>
  </si>
  <si>
    <t xml:space="preserve">30.83.22 </t>
  </si>
  <si>
    <t xml:space="preserve">30.83.23 </t>
  </si>
  <si>
    <t xml:space="preserve">30.83.24 </t>
  </si>
  <si>
    <t xml:space="preserve">30.83.25 </t>
  </si>
  <si>
    <t xml:space="preserve">30.83.26 </t>
  </si>
  <si>
    <t xml:space="preserve">30.83.27 </t>
  </si>
  <si>
    <t xml:space="preserve">30.83.28 </t>
  </si>
  <si>
    <t xml:space="preserve">30.83.29 </t>
  </si>
  <si>
    <t xml:space="preserve">30.83.30 </t>
  </si>
  <si>
    <t xml:space="preserve">30.83.31 </t>
  </si>
  <si>
    <t xml:space="preserve">30.83.32 </t>
  </si>
  <si>
    <t xml:space="preserve">30.83.33 </t>
  </si>
  <si>
    <t xml:space="preserve">30.83.34 </t>
  </si>
  <si>
    <t xml:space="preserve">30.83.35 </t>
  </si>
  <si>
    <t xml:space="preserve">30.83.36 </t>
  </si>
  <si>
    <t xml:space="preserve">30.83.37 </t>
  </si>
  <si>
    <t xml:space="preserve">30.83.38 </t>
  </si>
  <si>
    <t xml:space="preserve">30.83.39 </t>
  </si>
  <si>
    <t xml:space="preserve">30.83.40 </t>
  </si>
  <si>
    <t xml:space="preserve">30.83.41 </t>
  </si>
  <si>
    <t xml:space="preserve">30.83.42 </t>
  </si>
  <si>
    <t xml:space="preserve">30.83.43 </t>
  </si>
  <si>
    <t xml:space="preserve">30.83.44 </t>
  </si>
  <si>
    <t xml:space="preserve">30.83.45 </t>
  </si>
  <si>
    <t xml:space="preserve">30.83.46 </t>
  </si>
  <si>
    <t>2 „ბაქრაძე, უგულავა, ბოკერია - ევროპული საქართველო - მოძრაობა თავისუფლებისთვის“</t>
  </si>
  <si>
    <t>3 ნინო ბურჯანაძე-ერთიანი საქართველო-დემოკრატიული მოძრაობა</t>
  </si>
  <si>
    <t>4 „დავით ჭიჭინაძე ტრიბუნა - ქდმ”</t>
  </si>
  <si>
    <t>5 ბლოკი „ერთიანი ნაციონალური მოძრაობა-გაერთიანებული ოპოზიცია „ძალა ერთობაშია”</t>
  </si>
  <si>
    <t>8 „დავით თარხან-მოურავი, ირმა ინაშვილი - საქართველოს პატრიოტთა ალიანსი”</t>
  </si>
  <si>
    <t>10 „შალვა ნათელაშვილი-საქართველოს ლეიბორისტული პარტია“</t>
  </si>
  <si>
    <t>14 „ბეჟან გუნავა - ქართული არჩევანი“</t>
  </si>
  <si>
    <t>17 „ირაკლი ოქრუაშვილი - გამარჯვებული საქართველო“</t>
  </si>
  <si>
    <t>19 მოქალაქეთა პოლიტიკური გაერთიანება „ჩვენი საქართველო - სოლიდარობის ალიანსი“</t>
  </si>
  <si>
    <t>21 „თავისუფალი საქართველო (კახა კუკავა, გიორგი წულაია)“</t>
  </si>
  <si>
    <t>24 „ალეკო ელისაშვილი-მოქალაქეები“</t>
  </si>
  <si>
    <t>26 ეკა ბესელია - პ.პ. „სამართლიანობისთვის“</t>
  </si>
  <si>
    <t>27 ბლოკი „გიორგი ვაშაძე-სტრატეგია აღმაშენებელი”</t>
  </si>
  <si>
    <t>31 თავისუფლება-ზვიად გამსახურდიას გზა</t>
  </si>
  <si>
    <t>34 „სოციალური სამართლიანობისათვის“</t>
  </si>
  <si>
    <t>36 „გირჩი“</t>
  </si>
  <si>
    <t>41 ქართული ოცნება - დემოკრატიული საქართველო</t>
  </si>
  <si>
    <t>44 „ლევან ჩაჩუა, გურამ ფალავანდიშვილი - ქართული იდეა“</t>
  </si>
  <si>
    <t>47 „ზვიად ძიძიგური - საქართველოს კონსერვატიული პარტია”</t>
  </si>
  <si>
    <t>55 „ქართული მარში-ეროვნული მოძრაობა“</t>
  </si>
  <si>
    <t>56 „ლელო - მამუკა ხაზარაძე“</t>
  </si>
  <si>
    <t>30.83.47</t>
  </si>
  <si>
    <t>61 „ბაგრატიონი სახე +“</t>
  </si>
  <si>
    <t>4. ზაზა ტარიელაძე</t>
  </si>
  <si>
    <t>5. გია აბულაძე</t>
  </si>
  <si>
    <t>8. დავით დავითაძე</t>
  </si>
  <si>
    <t>10. უშანგი ცეცხლაძე</t>
  </si>
  <si>
    <t>14. მარად აბულაძე</t>
  </si>
  <si>
    <t>17. ასლან ვაშაყმაძე</t>
  </si>
  <si>
    <t>19. ანჟელა ვერძაძე</t>
  </si>
  <si>
    <t>21.ბაჰადურ რიჟვაძე</t>
  </si>
  <si>
    <t>27.გიზო გორგილაძე</t>
  </si>
  <si>
    <t>41. ფრიდონ ფუტკარაძე</t>
  </si>
  <si>
    <t>55. ავთანდილ დიასამიძე</t>
  </si>
  <si>
    <t>56. მერაბ აბაშიძე</t>
  </si>
  <si>
    <t>61. პაატა შავაძე</t>
  </si>
  <si>
    <t>2. თემურ კაკაბაძე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</si>
</sst>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b/>
      <sz val="9"/>
      <color theme="1"/>
      <name val="Sylfaen"/>
      <family val="1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b/>
      <sz val="8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3" fontId="3" fillId="0" borderId="1" xfId="0" applyNumberFormat="1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3" fontId="4" fillId="0" borderId="1" xfId="0" applyNumberFormat="1" applyFont="1" applyBorder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3" fontId="3" fillId="0" borderId="1" xfId="0" applyNumberFormat="1" applyFont="1" applyBorder="1" applyProtection="1"/>
    <xf numFmtId="3" fontId="4" fillId="0" borderId="1" xfId="0" applyNumberFormat="1" applyFont="1" applyBorder="1" applyProtection="1"/>
    <xf numFmtId="0" fontId="3" fillId="0" borderId="0" xfId="0" applyFont="1" applyProtection="1"/>
    <xf numFmtId="9" fontId="4" fillId="0" borderId="0" xfId="1" applyFont="1" applyProtection="1"/>
    <xf numFmtId="0" fontId="4" fillId="0" borderId="1" xfId="0" applyFont="1" applyBorder="1" applyAlignment="1" applyProtection="1">
      <alignment horizontal="center"/>
    </xf>
    <xf numFmtId="0" fontId="4" fillId="0" borderId="0" xfId="0" applyFont="1" applyProtection="1"/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10" fontId="4" fillId="0" borderId="0" xfId="1" applyNumberFormat="1" applyFont="1" applyProtection="1">
      <protection locked="0"/>
    </xf>
    <xf numFmtId="49" fontId="3" fillId="0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/>
    <xf numFmtId="0" fontId="3" fillId="0" borderId="1" xfId="0" applyFont="1" applyFill="1" applyBorder="1" applyAlignment="1" applyProtection="1">
      <alignment horizontal="center"/>
      <protection locked="0"/>
    </xf>
    <xf numFmtId="3" fontId="3" fillId="0" borderId="1" xfId="0" applyNumberFormat="1" applyFont="1" applyFill="1" applyBorder="1" applyProtection="1"/>
    <xf numFmtId="3" fontId="3" fillId="0" borderId="1" xfId="0" applyNumberFormat="1" applyFont="1" applyFill="1" applyBorder="1" applyProtection="1">
      <protection locked="0"/>
    </xf>
    <xf numFmtId="0" fontId="3" fillId="0" borderId="0" xfId="0" applyFont="1" applyFill="1" applyProtection="1">
      <protection locked="0"/>
    </xf>
    <xf numFmtId="49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/>
    <xf numFmtId="0" fontId="3" fillId="3" borderId="1" xfId="0" applyFont="1" applyFill="1" applyBorder="1" applyAlignment="1" applyProtection="1">
      <alignment horizontal="center"/>
      <protection locked="0"/>
    </xf>
    <xf numFmtId="3" fontId="3" fillId="3" borderId="1" xfId="0" applyNumberFormat="1" applyFont="1" applyFill="1" applyBorder="1" applyProtection="1"/>
    <xf numFmtId="3" fontId="3" fillId="3" borderId="1" xfId="0" applyNumberFormat="1" applyFont="1" applyFill="1" applyBorder="1" applyProtection="1">
      <protection locked="0"/>
    </xf>
    <xf numFmtId="0" fontId="3" fillId="3" borderId="0" xfId="0" applyFont="1" applyFill="1" applyProtection="1">
      <protection locked="0"/>
    </xf>
    <xf numFmtId="0" fontId="3" fillId="0" borderId="0" xfId="0" applyFont="1" applyAlignment="1" applyProtection="1"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vertical="center"/>
    </xf>
    <xf numFmtId="0" fontId="2" fillId="2" borderId="2" xfId="0" applyFont="1" applyFill="1" applyBorder="1" applyAlignment="1" applyProtection="1">
      <alignment vertical="center"/>
    </xf>
    <xf numFmtId="0" fontId="5" fillId="2" borderId="1" xfId="0" applyFont="1" applyFill="1" applyBorder="1" applyAlignment="1" applyProtection="1">
      <alignment horizontal="center" vertical="center" textRotation="90"/>
      <protection locked="0"/>
    </xf>
  </cellXfs>
  <cellStyles count="2">
    <cellStyle name="პროცენტი" xfId="1" builtinId="5"/>
    <cellStyle name="ჩვეულებრივი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6"/>
  <sheetViews>
    <sheetView zoomScaleNormal="100" workbookViewId="0">
      <selection activeCell="D1" sqref="D1"/>
    </sheetView>
  </sheetViews>
  <sheetFormatPr defaultColWidth="9.109375" defaultRowHeight="14.4" x14ac:dyDescent="0.3"/>
  <cols>
    <col min="1" max="1" width="9.109375" style="1"/>
    <col min="2" max="2" width="24.88671875" style="7" customWidth="1"/>
    <col min="3" max="3" width="10.6640625" style="7" customWidth="1"/>
    <col min="4" max="4" width="11" style="7" customWidth="1"/>
    <col min="5" max="5" width="14.6640625" style="10" customWidth="1"/>
    <col min="6" max="6" width="15" style="1" customWidth="1"/>
    <col min="7" max="7" width="9.77734375" style="1" customWidth="1"/>
    <col min="8" max="8" width="9.88671875" style="1" customWidth="1"/>
    <col min="9" max="9" width="10.21875" style="1" bestFit="1" customWidth="1"/>
    <col min="10" max="10" width="13.77734375" style="1" customWidth="1"/>
    <col min="11" max="12" width="11.109375" style="1" bestFit="1" customWidth="1"/>
    <col min="13" max="13" width="9.77734375" style="1" bestFit="1" customWidth="1"/>
    <col min="14" max="16" width="11.109375" style="1" bestFit="1" customWidth="1"/>
    <col min="17" max="17" width="9.77734375" style="1" bestFit="1" customWidth="1"/>
    <col min="18" max="20" width="11.109375" style="1" bestFit="1" customWidth="1"/>
    <col min="21" max="22" width="9.77734375" style="1" bestFit="1" customWidth="1"/>
    <col min="23" max="23" width="11.109375" style="1" bestFit="1" customWidth="1"/>
    <col min="24" max="26" width="9.77734375" style="1" bestFit="1" customWidth="1"/>
    <col min="27" max="29" width="11.109375" style="1" bestFit="1" customWidth="1"/>
    <col min="30" max="32" width="9.77734375" style="1" bestFit="1" customWidth="1"/>
    <col min="33" max="33" width="13.6640625" style="10" customWidth="1"/>
    <col min="34" max="34" width="13.6640625" style="1" customWidth="1"/>
    <col min="35" max="16384" width="9.109375" style="1"/>
  </cols>
  <sheetData>
    <row r="1" spans="1:34" s="29" customFormat="1" ht="30" customHeight="1" x14ac:dyDescent="0.3">
      <c r="A1" s="31" t="s">
        <v>14</v>
      </c>
      <c r="B1" s="31" t="s">
        <v>11</v>
      </c>
      <c r="C1" s="31" t="s">
        <v>0</v>
      </c>
      <c r="D1" s="31" t="s">
        <v>13</v>
      </c>
      <c r="E1" s="32" t="s">
        <v>1</v>
      </c>
      <c r="F1" s="31" t="s">
        <v>2</v>
      </c>
      <c r="G1" s="31" t="s">
        <v>3</v>
      </c>
      <c r="H1" s="31" t="s">
        <v>4</v>
      </c>
      <c r="I1" s="31" t="s">
        <v>5</v>
      </c>
      <c r="J1" s="31" t="s">
        <v>10</v>
      </c>
      <c r="K1" s="34" t="s">
        <v>58</v>
      </c>
      <c r="L1" s="34" t="s">
        <v>59</v>
      </c>
      <c r="M1" s="34" t="s">
        <v>60</v>
      </c>
      <c r="N1" s="34" t="s">
        <v>61</v>
      </c>
      <c r="O1" s="34" t="s">
        <v>62</v>
      </c>
      <c r="P1" s="34" t="s">
        <v>63</v>
      </c>
      <c r="Q1" s="34" t="s">
        <v>64</v>
      </c>
      <c r="R1" s="34" t="s">
        <v>65</v>
      </c>
      <c r="S1" s="34" t="s">
        <v>66</v>
      </c>
      <c r="T1" s="34" t="s">
        <v>67</v>
      </c>
      <c r="U1" s="34" t="s">
        <v>68</v>
      </c>
      <c r="V1" s="34" t="s">
        <v>69</v>
      </c>
      <c r="W1" s="34" t="s">
        <v>70</v>
      </c>
      <c r="X1" s="34" t="s">
        <v>71</v>
      </c>
      <c r="Y1" s="34" t="s">
        <v>72</v>
      </c>
      <c r="Z1" s="34" t="s">
        <v>73</v>
      </c>
      <c r="AA1" s="34" t="s">
        <v>74</v>
      </c>
      <c r="AB1" s="34" t="s">
        <v>75</v>
      </c>
      <c r="AC1" s="34" t="s">
        <v>76</v>
      </c>
      <c r="AD1" s="34" t="s">
        <v>77</v>
      </c>
      <c r="AE1" s="34" t="s">
        <v>78</v>
      </c>
      <c r="AF1" s="34" t="s">
        <v>80</v>
      </c>
      <c r="AG1" s="31" t="s">
        <v>8</v>
      </c>
      <c r="AH1" s="31" t="s">
        <v>6</v>
      </c>
    </row>
    <row r="2" spans="1:34" x14ac:dyDescent="0.3">
      <c r="A2" s="14" t="s">
        <v>15</v>
      </c>
      <c r="B2" s="15" t="s">
        <v>12</v>
      </c>
      <c r="C2" s="15" t="s">
        <v>16</v>
      </c>
      <c r="D2" s="3"/>
      <c r="E2" s="8">
        <v>1268</v>
      </c>
      <c r="F2" s="8">
        <v>11</v>
      </c>
      <c r="G2" s="4">
        <v>218</v>
      </c>
      <c r="H2" s="4">
        <v>597</v>
      </c>
      <c r="I2" s="4">
        <v>779</v>
      </c>
      <c r="J2" s="4"/>
      <c r="K2" s="4">
        <v>12</v>
      </c>
      <c r="L2" s="4">
        <v>7</v>
      </c>
      <c r="M2" s="4">
        <v>3</v>
      </c>
      <c r="N2" s="4">
        <v>228</v>
      </c>
      <c r="O2" s="4">
        <v>28</v>
      </c>
      <c r="P2" s="4">
        <v>8</v>
      </c>
      <c r="Q2" s="4">
        <v>0</v>
      </c>
      <c r="R2" s="4">
        <v>1</v>
      </c>
      <c r="S2" s="4">
        <v>10</v>
      </c>
      <c r="T2" s="4">
        <v>2</v>
      </c>
      <c r="U2" s="4">
        <v>2</v>
      </c>
      <c r="V2" s="4">
        <v>0</v>
      </c>
      <c r="W2" s="4">
        <v>23</v>
      </c>
      <c r="X2" s="4">
        <v>1</v>
      </c>
      <c r="Y2" s="4">
        <v>0</v>
      </c>
      <c r="Z2" s="4">
        <v>16</v>
      </c>
      <c r="AA2" s="4">
        <v>382</v>
      </c>
      <c r="AB2" s="4">
        <v>1</v>
      </c>
      <c r="AC2" s="4">
        <v>1</v>
      </c>
      <c r="AD2" s="4">
        <v>2</v>
      </c>
      <c r="AE2" s="4">
        <v>23</v>
      </c>
      <c r="AF2" s="4">
        <v>0</v>
      </c>
      <c r="AG2" s="8">
        <f t="shared" ref="AG2:AG33" si="0">SUM(K2:AF2)</f>
        <v>750</v>
      </c>
      <c r="AH2" s="4">
        <v>27</v>
      </c>
    </row>
    <row r="3" spans="1:34" s="22" customFormat="1" x14ac:dyDescent="0.3">
      <c r="A3" s="17" t="s">
        <v>15</v>
      </c>
      <c r="B3" s="18" t="s">
        <v>12</v>
      </c>
      <c r="C3" s="18" t="s">
        <v>17</v>
      </c>
      <c r="D3" s="19"/>
      <c r="E3" s="20">
        <v>1145</v>
      </c>
      <c r="F3" s="20">
        <v>11</v>
      </c>
      <c r="G3" s="21">
        <v>217</v>
      </c>
      <c r="H3" s="21">
        <v>565</v>
      </c>
      <c r="I3" s="21">
        <v>743</v>
      </c>
      <c r="J3" s="21"/>
      <c r="K3" s="21">
        <v>15</v>
      </c>
      <c r="L3" s="21">
        <v>6</v>
      </c>
      <c r="M3" s="21">
        <v>1</v>
      </c>
      <c r="N3" s="21">
        <v>316</v>
      </c>
      <c r="O3" s="21">
        <v>27</v>
      </c>
      <c r="P3" s="21">
        <v>2</v>
      </c>
      <c r="Q3" s="21">
        <v>1</v>
      </c>
      <c r="R3" s="21">
        <v>2</v>
      </c>
      <c r="S3" s="21">
        <v>16</v>
      </c>
      <c r="T3" s="21">
        <v>0</v>
      </c>
      <c r="U3" s="21">
        <v>5</v>
      </c>
      <c r="V3" s="21">
        <v>0</v>
      </c>
      <c r="W3" s="21">
        <v>19</v>
      </c>
      <c r="X3" s="21">
        <v>0</v>
      </c>
      <c r="Y3" s="21">
        <v>0</v>
      </c>
      <c r="Z3" s="21">
        <v>8</v>
      </c>
      <c r="AA3" s="21">
        <v>289</v>
      </c>
      <c r="AB3" s="21">
        <v>1</v>
      </c>
      <c r="AC3" s="21">
        <v>2</v>
      </c>
      <c r="AD3" s="21">
        <v>1</v>
      </c>
      <c r="AE3" s="21">
        <v>10</v>
      </c>
      <c r="AF3" s="21">
        <v>0</v>
      </c>
      <c r="AG3" s="20">
        <f t="shared" si="0"/>
        <v>721</v>
      </c>
      <c r="AH3" s="21">
        <v>19</v>
      </c>
    </row>
    <row r="4" spans="1:34" s="22" customFormat="1" x14ac:dyDescent="0.3">
      <c r="A4" s="17" t="s">
        <v>15</v>
      </c>
      <c r="B4" s="18" t="s">
        <v>12</v>
      </c>
      <c r="C4" s="18" t="s">
        <v>18</v>
      </c>
      <c r="D4" s="19"/>
      <c r="E4" s="20">
        <v>1384</v>
      </c>
      <c r="F4" s="20">
        <v>7</v>
      </c>
      <c r="G4" s="21">
        <v>275</v>
      </c>
      <c r="H4" s="21">
        <v>625</v>
      </c>
      <c r="I4" s="21">
        <v>818</v>
      </c>
      <c r="J4" s="21"/>
      <c r="K4" s="21">
        <v>12</v>
      </c>
      <c r="L4" s="21">
        <v>6</v>
      </c>
      <c r="M4" s="21">
        <v>0</v>
      </c>
      <c r="N4" s="21">
        <v>201</v>
      </c>
      <c r="O4" s="21">
        <v>31</v>
      </c>
      <c r="P4" s="21">
        <v>1</v>
      </c>
      <c r="Q4" s="21">
        <v>0</v>
      </c>
      <c r="R4" s="21">
        <v>3</v>
      </c>
      <c r="S4" s="21">
        <v>44</v>
      </c>
      <c r="T4" s="21">
        <v>1</v>
      </c>
      <c r="U4" s="21">
        <v>1</v>
      </c>
      <c r="V4" s="21">
        <v>0</v>
      </c>
      <c r="W4" s="21">
        <v>17</v>
      </c>
      <c r="X4" s="21">
        <v>0</v>
      </c>
      <c r="Y4" s="21">
        <v>0</v>
      </c>
      <c r="Z4" s="21">
        <v>8</v>
      </c>
      <c r="AA4" s="21">
        <v>440</v>
      </c>
      <c r="AB4" s="21">
        <v>2</v>
      </c>
      <c r="AC4" s="21">
        <v>0</v>
      </c>
      <c r="AD4" s="21">
        <v>1</v>
      </c>
      <c r="AE4" s="21">
        <v>23</v>
      </c>
      <c r="AF4" s="21">
        <v>1</v>
      </c>
      <c r="AG4" s="20">
        <f t="shared" si="0"/>
        <v>792</v>
      </c>
      <c r="AH4" s="21">
        <v>26</v>
      </c>
    </row>
    <row r="5" spans="1:34" s="22" customFormat="1" x14ac:dyDescent="0.3">
      <c r="A5" s="17" t="s">
        <v>15</v>
      </c>
      <c r="B5" s="18" t="s">
        <v>12</v>
      </c>
      <c r="C5" s="18" t="s">
        <v>19</v>
      </c>
      <c r="D5" s="19"/>
      <c r="E5" s="20">
        <v>536</v>
      </c>
      <c r="F5" s="20">
        <v>11</v>
      </c>
      <c r="G5" s="21">
        <v>110</v>
      </c>
      <c r="H5" s="21">
        <v>262</v>
      </c>
      <c r="I5" s="21">
        <v>299</v>
      </c>
      <c r="J5" s="21"/>
      <c r="K5" s="21">
        <v>2</v>
      </c>
      <c r="L5" s="21">
        <v>1</v>
      </c>
      <c r="M5" s="21">
        <v>0</v>
      </c>
      <c r="N5" s="21">
        <v>64</v>
      </c>
      <c r="O5" s="21">
        <v>13</v>
      </c>
      <c r="P5" s="21">
        <v>4</v>
      </c>
      <c r="Q5" s="21">
        <v>1</v>
      </c>
      <c r="R5" s="21">
        <v>0</v>
      </c>
      <c r="S5" s="21">
        <v>5</v>
      </c>
      <c r="T5" s="21">
        <v>0</v>
      </c>
      <c r="U5" s="21">
        <v>2</v>
      </c>
      <c r="V5" s="21">
        <v>0</v>
      </c>
      <c r="W5" s="21">
        <v>12</v>
      </c>
      <c r="X5" s="21">
        <v>0</v>
      </c>
      <c r="Y5" s="21">
        <v>0</v>
      </c>
      <c r="Z5" s="21">
        <v>2</v>
      </c>
      <c r="AA5" s="21">
        <v>172</v>
      </c>
      <c r="AB5" s="21">
        <v>1</v>
      </c>
      <c r="AC5" s="21">
        <v>0</v>
      </c>
      <c r="AD5" s="21">
        <v>0</v>
      </c>
      <c r="AE5" s="21">
        <v>8</v>
      </c>
      <c r="AF5" s="21">
        <v>0</v>
      </c>
      <c r="AG5" s="20">
        <f t="shared" si="0"/>
        <v>287</v>
      </c>
      <c r="AH5" s="21">
        <v>12</v>
      </c>
    </row>
    <row r="6" spans="1:34" s="22" customFormat="1" x14ac:dyDescent="0.3">
      <c r="A6" s="17" t="s">
        <v>15</v>
      </c>
      <c r="B6" s="18" t="s">
        <v>12</v>
      </c>
      <c r="C6" s="18" t="s">
        <v>20</v>
      </c>
      <c r="D6" s="19"/>
      <c r="E6" s="20">
        <v>1245</v>
      </c>
      <c r="F6" s="20">
        <v>6</v>
      </c>
      <c r="G6" s="21">
        <v>261</v>
      </c>
      <c r="H6" s="21">
        <v>610</v>
      </c>
      <c r="I6" s="21">
        <v>764</v>
      </c>
      <c r="J6" s="21"/>
      <c r="K6" s="21">
        <v>19</v>
      </c>
      <c r="L6" s="21">
        <v>1</v>
      </c>
      <c r="M6" s="21">
        <v>2</v>
      </c>
      <c r="N6" s="21">
        <v>207</v>
      </c>
      <c r="O6" s="21">
        <v>60</v>
      </c>
      <c r="P6" s="21">
        <v>1</v>
      </c>
      <c r="Q6" s="21">
        <v>2</v>
      </c>
      <c r="R6" s="21">
        <v>0</v>
      </c>
      <c r="S6" s="21">
        <v>2</v>
      </c>
      <c r="T6" s="21">
        <v>3</v>
      </c>
      <c r="U6" s="21">
        <v>1</v>
      </c>
      <c r="V6" s="21">
        <v>0</v>
      </c>
      <c r="W6" s="21">
        <v>29</v>
      </c>
      <c r="X6" s="21">
        <v>1</v>
      </c>
      <c r="Y6" s="21">
        <v>0</v>
      </c>
      <c r="Z6" s="21">
        <v>14</v>
      </c>
      <c r="AA6" s="21">
        <v>387</v>
      </c>
      <c r="AB6" s="21">
        <v>1</v>
      </c>
      <c r="AC6" s="21">
        <v>0</v>
      </c>
      <c r="AD6" s="21">
        <v>1</v>
      </c>
      <c r="AE6" s="21">
        <v>6</v>
      </c>
      <c r="AF6" s="21">
        <v>2</v>
      </c>
      <c r="AG6" s="20">
        <f t="shared" si="0"/>
        <v>739</v>
      </c>
      <c r="AH6" s="21">
        <v>22</v>
      </c>
    </row>
    <row r="7" spans="1:34" s="22" customFormat="1" x14ac:dyDescent="0.3">
      <c r="A7" s="17" t="s">
        <v>15</v>
      </c>
      <c r="B7" s="18" t="s">
        <v>12</v>
      </c>
      <c r="C7" s="18" t="s">
        <v>21</v>
      </c>
      <c r="D7" s="19"/>
      <c r="E7" s="20">
        <v>996</v>
      </c>
      <c r="F7" s="20">
        <v>6</v>
      </c>
      <c r="G7" s="21">
        <v>210</v>
      </c>
      <c r="H7" s="21">
        <v>516</v>
      </c>
      <c r="I7" s="21">
        <v>624</v>
      </c>
      <c r="J7" s="21"/>
      <c r="K7" s="21">
        <v>51</v>
      </c>
      <c r="L7" s="21">
        <v>10</v>
      </c>
      <c r="M7" s="21">
        <v>0</v>
      </c>
      <c r="N7" s="21">
        <v>210</v>
      </c>
      <c r="O7" s="21">
        <v>37</v>
      </c>
      <c r="P7" s="21">
        <v>4</v>
      </c>
      <c r="Q7" s="21">
        <v>0</v>
      </c>
      <c r="R7" s="21">
        <v>2</v>
      </c>
      <c r="S7" s="21">
        <v>1</v>
      </c>
      <c r="T7" s="21">
        <v>4</v>
      </c>
      <c r="U7" s="21">
        <v>4</v>
      </c>
      <c r="V7" s="21">
        <v>0</v>
      </c>
      <c r="W7" s="21">
        <v>12</v>
      </c>
      <c r="X7" s="21">
        <v>0</v>
      </c>
      <c r="Y7" s="21">
        <v>0</v>
      </c>
      <c r="Z7" s="21">
        <v>6</v>
      </c>
      <c r="AA7" s="21">
        <v>237</v>
      </c>
      <c r="AB7" s="21">
        <v>2</v>
      </c>
      <c r="AC7" s="21">
        <v>2</v>
      </c>
      <c r="AD7" s="21">
        <v>0</v>
      </c>
      <c r="AE7" s="21">
        <v>19</v>
      </c>
      <c r="AF7" s="21">
        <v>5</v>
      </c>
      <c r="AG7" s="20">
        <f t="shared" si="0"/>
        <v>606</v>
      </c>
      <c r="AH7" s="21">
        <v>18</v>
      </c>
    </row>
    <row r="8" spans="1:34" s="22" customFormat="1" x14ac:dyDescent="0.3">
      <c r="A8" s="17" t="s">
        <v>15</v>
      </c>
      <c r="B8" s="18" t="s">
        <v>12</v>
      </c>
      <c r="C8" s="18" t="s">
        <v>22</v>
      </c>
      <c r="D8" s="19"/>
      <c r="E8" s="20">
        <v>801</v>
      </c>
      <c r="F8" s="20">
        <v>4</v>
      </c>
      <c r="G8" s="21">
        <v>174</v>
      </c>
      <c r="H8" s="21">
        <v>372</v>
      </c>
      <c r="I8" s="21">
        <v>468</v>
      </c>
      <c r="J8" s="21"/>
      <c r="K8" s="21">
        <v>15</v>
      </c>
      <c r="L8" s="21">
        <v>4</v>
      </c>
      <c r="M8" s="21">
        <v>1</v>
      </c>
      <c r="N8" s="21">
        <v>159</v>
      </c>
      <c r="O8" s="21">
        <v>17</v>
      </c>
      <c r="P8" s="21">
        <v>4</v>
      </c>
      <c r="Q8" s="21">
        <v>0</v>
      </c>
      <c r="R8" s="21">
        <v>0</v>
      </c>
      <c r="S8" s="21">
        <v>0</v>
      </c>
      <c r="T8" s="21">
        <v>27</v>
      </c>
      <c r="U8" s="21">
        <v>2</v>
      </c>
      <c r="V8" s="21">
        <v>0</v>
      </c>
      <c r="W8" s="21">
        <v>7</v>
      </c>
      <c r="X8" s="21">
        <v>0</v>
      </c>
      <c r="Y8" s="21">
        <v>1</v>
      </c>
      <c r="Z8" s="21">
        <v>2</v>
      </c>
      <c r="AA8" s="21">
        <v>200</v>
      </c>
      <c r="AB8" s="21">
        <v>2</v>
      </c>
      <c r="AC8" s="21">
        <v>0</v>
      </c>
      <c r="AD8" s="21">
        <v>1</v>
      </c>
      <c r="AE8" s="21">
        <v>11</v>
      </c>
      <c r="AF8" s="21">
        <v>3</v>
      </c>
      <c r="AG8" s="20">
        <f t="shared" si="0"/>
        <v>456</v>
      </c>
      <c r="AH8" s="21">
        <v>12</v>
      </c>
    </row>
    <row r="9" spans="1:34" s="22" customFormat="1" x14ac:dyDescent="0.3">
      <c r="A9" s="17" t="s">
        <v>15</v>
      </c>
      <c r="B9" s="18" t="s">
        <v>12</v>
      </c>
      <c r="C9" s="18" t="s">
        <v>23</v>
      </c>
      <c r="D9" s="19"/>
      <c r="E9" s="20">
        <v>1338</v>
      </c>
      <c r="F9" s="20">
        <v>9</v>
      </c>
      <c r="G9" s="21">
        <v>236</v>
      </c>
      <c r="H9" s="21">
        <v>594</v>
      </c>
      <c r="I9" s="21">
        <v>791</v>
      </c>
      <c r="J9" s="21"/>
      <c r="K9" s="21">
        <v>17</v>
      </c>
      <c r="L9" s="21">
        <v>9</v>
      </c>
      <c r="M9" s="21">
        <v>2</v>
      </c>
      <c r="N9" s="21">
        <v>228</v>
      </c>
      <c r="O9" s="21">
        <v>27</v>
      </c>
      <c r="P9" s="21">
        <v>6</v>
      </c>
      <c r="Q9" s="21">
        <v>1</v>
      </c>
      <c r="R9" s="21">
        <v>0</v>
      </c>
      <c r="S9" s="21">
        <v>23</v>
      </c>
      <c r="T9" s="21">
        <v>5</v>
      </c>
      <c r="U9" s="21">
        <v>4</v>
      </c>
      <c r="V9" s="21">
        <v>1</v>
      </c>
      <c r="W9" s="21">
        <v>27</v>
      </c>
      <c r="X9" s="21">
        <v>1</v>
      </c>
      <c r="Y9" s="21">
        <v>2</v>
      </c>
      <c r="Z9" s="21">
        <v>8</v>
      </c>
      <c r="AA9" s="21">
        <v>353</v>
      </c>
      <c r="AB9" s="21">
        <v>6</v>
      </c>
      <c r="AC9" s="21">
        <v>0</v>
      </c>
      <c r="AD9" s="21">
        <v>2</v>
      </c>
      <c r="AE9" s="21">
        <v>14</v>
      </c>
      <c r="AF9" s="21">
        <v>3</v>
      </c>
      <c r="AG9" s="20">
        <f t="shared" si="0"/>
        <v>739</v>
      </c>
      <c r="AH9" s="21">
        <v>43</v>
      </c>
    </row>
    <row r="10" spans="1:34" s="22" customFormat="1" x14ac:dyDescent="0.3">
      <c r="A10" s="17" t="s">
        <v>15</v>
      </c>
      <c r="B10" s="18" t="s">
        <v>12</v>
      </c>
      <c r="C10" s="18" t="s">
        <v>24</v>
      </c>
      <c r="D10" s="19"/>
      <c r="E10" s="20">
        <v>1220</v>
      </c>
      <c r="F10" s="20">
        <v>6</v>
      </c>
      <c r="G10" s="21">
        <v>205</v>
      </c>
      <c r="H10" s="21">
        <v>575</v>
      </c>
      <c r="I10" s="21">
        <v>701</v>
      </c>
      <c r="J10" s="21"/>
      <c r="K10" s="21">
        <v>15</v>
      </c>
      <c r="L10" s="21">
        <v>6</v>
      </c>
      <c r="M10" s="21">
        <v>1</v>
      </c>
      <c r="N10" s="21">
        <v>220</v>
      </c>
      <c r="O10" s="21">
        <v>17</v>
      </c>
      <c r="P10" s="21">
        <v>7</v>
      </c>
      <c r="Q10" s="21">
        <v>0</v>
      </c>
      <c r="R10" s="21">
        <v>1</v>
      </c>
      <c r="S10" s="21">
        <v>17</v>
      </c>
      <c r="T10" s="21">
        <v>3</v>
      </c>
      <c r="U10" s="21">
        <v>2</v>
      </c>
      <c r="V10" s="21">
        <v>0</v>
      </c>
      <c r="W10" s="21">
        <v>20</v>
      </c>
      <c r="X10" s="21">
        <v>0</v>
      </c>
      <c r="Y10" s="21">
        <v>4</v>
      </c>
      <c r="Z10" s="21">
        <v>6</v>
      </c>
      <c r="AA10" s="21">
        <v>337</v>
      </c>
      <c r="AB10" s="21">
        <v>1</v>
      </c>
      <c r="AC10" s="21">
        <v>1</v>
      </c>
      <c r="AD10" s="21">
        <v>1</v>
      </c>
      <c r="AE10" s="21">
        <v>15</v>
      </c>
      <c r="AF10" s="21">
        <v>1</v>
      </c>
      <c r="AG10" s="20">
        <f t="shared" si="0"/>
        <v>675</v>
      </c>
      <c r="AH10" s="21">
        <v>22</v>
      </c>
    </row>
    <row r="11" spans="1:34" s="22" customFormat="1" x14ac:dyDescent="0.3">
      <c r="A11" s="17" t="s">
        <v>15</v>
      </c>
      <c r="B11" s="18" t="s">
        <v>12</v>
      </c>
      <c r="C11" s="18" t="s">
        <v>25</v>
      </c>
      <c r="D11" s="19"/>
      <c r="E11" s="20">
        <v>1313</v>
      </c>
      <c r="F11" s="20">
        <v>6</v>
      </c>
      <c r="G11" s="21">
        <v>261</v>
      </c>
      <c r="H11" s="21">
        <v>592</v>
      </c>
      <c r="I11" s="21">
        <v>746</v>
      </c>
      <c r="J11" s="21"/>
      <c r="K11" s="21">
        <v>6</v>
      </c>
      <c r="L11" s="21">
        <v>11</v>
      </c>
      <c r="M11" s="21">
        <v>2</v>
      </c>
      <c r="N11" s="21">
        <v>242</v>
      </c>
      <c r="O11" s="21">
        <v>15</v>
      </c>
      <c r="P11" s="21">
        <v>6</v>
      </c>
      <c r="Q11" s="21">
        <v>2</v>
      </c>
      <c r="R11" s="21">
        <v>1</v>
      </c>
      <c r="S11" s="21">
        <v>21</v>
      </c>
      <c r="T11" s="21">
        <v>2</v>
      </c>
      <c r="U11" s="21">
        <v>2</v>
      </c>
      <c r="V11" s="21">
        <v>2</v>
      </c>
      <c r="W11" s="21">
        <v>25</v>
      </c>
      <c r="X11" s="21">
        <v>0</v>
      </c>
      <c r="Y11" s="21">
        <v>0</v>
      </c>
      <c r="Z11" s="21">
        <v>10</v>
      </c>
      <c r="AA11" s="21">
        <v>337</v>
      </c>
      <c r="AB11" s="21">
        <v>1</v>
      </c>
      <c r="AC11" s="21">
        <v>0</v>
      </c>
      <c r="AD11" s="21">
        <v>2</v>
      </c>
      <c r="AE11" s="21">
        <v>31</v>
      </c>
      <c r="AF11" s="21">
        <v>1</v>
      </c>
      <c r="AG11" s="20">
        <f t="shared" si="0"/>
        <v>719</v>
      </c>
      <c r="AH11" s="21">
        <v>26</v>
      </c>
    </row>
    <row r="12" spans="1:34" s="22" customFormat="1" x14ac:dyDescent="0.3">
      <c r="A12" s="17" t="s">
        <v>15</v>
      </c>
      <c r="B12" s="18" t="s">
        <v>12</v>
      </c>
      <c r="C12" s="18" t="s">
        <v>26</v>
      </c>
      <c r="D12" s="19"/>
      <c r="E12" s="20">
        <v>1395</v>
      </c>
      <c r="F12" s="20">
        <v>2</v>
      </c>
      <c r="G12" s="21">
        <v>276</v>
      </c>
      <c r="H12" s="21">
        <v>662</v>
      </c>
      <c r="I12" s="21">
        <v>816</v>
      </c>
      <c r="J12" s="21"/>
      <c r="K12" s="21">
        <v>26</v>
      </c>
      <c r="L12" s="21">
        <v>7</v>
      </c>
      <c r="M12" s="21">
        <v>3</v>
      </c>
      <c r="N12" s="21">
        <v>385</v>
      </c>
      <c r="O12" s="21">
        <v>28</v>
      </c>
      <c r="P12" s="21">
        <v>9</v>
      </c>
      <c r="Q12" s="21">
        <v>0</v>
      </c>
      <c r="R12" s="21">
        <v>0</v>
      </c>
      <c r="S12" s="21">
        <v>4</v>
      </c>
      <c r="T12" s="21">
        <v>1</v>
      </c>
      <c r="U12" s="21">
        <v>4</v>
      </c>
      <c r="V12" s="21">
        <v>0</v>
      </c>
      <c r="W12" s="21">
        <v>31</v>
      </c>
      <c r="X12" s="21">
        <v>1</v>
      </c>
      <c r="Y12" s="21">
        <v>1</v>
      </c>
      <c r="Z12" s="21">
        <v>6</v>
      </c>
      <c r="AA12" s="21">
        <v>257</v>
      </c>
      <c r="AB12" s="21">
        <v>2</v>
      </c>
      <c r="AC12" s="21">
        <v>0</v>
      </c>
      <c r="AD12" s="21">
        <v>1</v>
      </c>
      <c r="AE12" s="21">
        <v>14</v>
      </c>
      <c r="AF12" s="21">
        <v>1</v>
      </c>
      <c r="AG12" s="20">
        <f t="shared" si="0"/>
        <v>781</v>
      </c>
      <c r="AH12" s="21">
        <v>33</v>
      </c>
    </row>
    <row r="13" spans="1:34" s="22" customFormat="1" x14ac:dyDescent="0.3">
      <c r="A13" s="17" t="s">
        <v>15</v>
      </c>
      <c r="B13" s="18" t="s">
        <v>12</v>
      </c>
      <c r="C13" s="18" t="s">
        <v>27</v>
      </c>
      <c r="D13" s="19"/>
      <c r="E13" s="20">
        <v>1190</v>
      </c>
      <c r="F13" s="20">
        <v>3</v>
      </c>
      <c r="G13" s="21">
        <v>255</v>
      </c>
      <c r="H13" s="21">
        <v>605</v>
      </c>
      <c r="I13" s="21">
        <v>712</v>
      </c>
      <c r="J13" s="21"/>
      <c r="K13" s="21">
        <v>40</v>
      </c>
      <c r="L13" s="21">
        <v>9</v>
      </c>
      <c r="M13" s="21">
        <v>7</v>
      </c>
      <c r="N13" s="21">
        <v>247</v>
      </c>
      <c r="O13" s="21">
        <v>26</v>
      </c>
      <c r="P13" s="21">
        <v>6</v>
      </c>
      <c r="Q13" s="21">
        <v>0</v>
      </c>
      <c r="R13" s="21">
        <v>0</v>
      </c>
      <c r="S13" s="21">
        <v>11</v>
      </c>
      <c r="T13" s="21">
        <v>0</v>
      </c>
      <c r="U13" s="21">
        <v>2</v>
      </c>
      <c r="V13" s="21">
        <v>0</v>
      </c>
      <c r="W13" s="21">
        <v>32</v>
      </c>
      <c r="X13" s="21">
        <v>2</v>
      </c>
      <c r="Y13" s="21">
        <v>0</v>
      </c>
      <c r="Z13" s="21">
        <v>9</v>
      </c>
      <c r="AA13" s="21">
        <v>271</v>
      </c>
      <c r="AB13" s="21">
        <v>3</v>
      </c>
      <c r="AC13" s="21">
        <v>1</v>
      </c>
      <c r="AD13" s="21">
        <v>1</v>
      </c>
      <c r="AE13" s="21">
        <v>16</v>
      </c>
      <c r="AF13" s="21">
        <v>2</v>
      </c>
      <c r="AG13" s="20">
        <f t="shared" si="0"/>
        <v>685</v>
      </c>
      <c r="AH13" s="21">
        <v>27</v>
      </c>
    </row>
    <row r="14" spans="1:34" s="22" customFormat="1" x14ac:dyDescent="0.3">
      <c r="A14" s="17" t="s">
        <v>15</v>
      </c>
      <c r="B14" s="18" t="s">
        <v>12</v>
      </c>
      <c r="C14" s="18" t="s">
        <v>28</v>
      </c>
      <c r="D14" s="19"/>
      <c r="E14" s="20">
        <v>1327</v>
      </c>
      <c r="F14" s="20">
        <v>7</v>
      </c>
      <c r="G14" s="21">
        <v>272</v>
      </c>
      <c r="H14" s="21">
        <v>610</v>
      </c>
      <c r="I14" s="21">
        <v>733</v>
      </c>
      <c r="J14" s="21"/>
      <c r="K14" s="21">
        <v>10</v>
      </c>
      <c r="L14" s="21">
        <v>8</v>
      </c>
      <c r="M14" s="21">
        <v>3</v>
      </c>
      <c r="N14" s="21">
        <v>263</v>
      </c>
      <c r="O14" s="21">
        <v>22</v>
      </c>
      <c r="P14" s="21">
        <v>4</v>
      </c>
      <c r="Q14" s="21">
        <v>1</v>
      </c>
      <c r="R14" s="21">
        <v>0</v>
      </c>
      <c r="S14" s="21">
        <v>13</v>
      </c>
      <c r="T14" s="21">
        <v>7</v>
      </c>
      <c r="U14" s="21">
        <v>5</v>
      </c>
      <c r="V14" s="21">
        <v>0</v>
      </c>
      <c r="W14" s="21">
        <v>24</v>
      </c>
      <c r="X14" s="21">
        <v>3</v>
      </c>
      <c r="Y14" s="21">
        <v>1</v>
      </c>
      <c r="Z14" s="21">
        <v>8</v>
      </c>
      <c r="AA14" s="21">
        <v>317</v>
      </c>
      <c r="AB14" s="21">
        <v>1</v>
      </c>
      <c r="AC14" s="21">
        <v>1</v>
      </c>
      <c r="AD14" s="21">
        <v>5</v>
      </c>
      <c r="AE14" s="21">
        <v>15</v>
      </c>
      <c r="AF14" s="21">
        <v>1</v>
      </c>
      <c r="AG14" s="20">
        <f t="shared" si="0"/>
        <v>712</v>
      </c>
      <c r="AH14" s="21">
        <v>20</v>
      </c>
    </row>
    <row r="15" spans="1:34" s="22" customFormat="1" x14ac:dyDescent="0.3">
      <c r="A15" s="17" t="s">
        <v>15</v>
      </c>
      <c r="B15" s="18" t="s">
        <v>12</v>
      </c>
      <c r="C15" s="18" t="s">
        <v>29</v>
      </c>
      <c r="D15" s="19"/>
      <c r="E15" s="20">
        <v>1340</v>
      </c>
      <c r="F15" s="20">
        <v>10</v>
      </c>
      <c r="G15" s="21">
        <v>218</v>
      </c>
      <c r="H15" s="21">
        <v>595</v>
      </c>
      <c r="I15" s="21">
        <v>742</v>
      </c>
      <c r="J15" s="21"/>
      <c r="K15" s="21">
        <v>10</v>
      </c>
      <c r="L15" s="21">
        <v>6</v>
      </c>
      <c r="M15" s="21">
        <v>1</v>
      </c>
      <c r="N15" s="21">
        <v>335</v>
      </c>
      <c r="O15" s="21">
        <v>31</v>
      </c>
      <c r="P15" s="21">
        <v>3</v>
      </c>
      <c r="Q15" s="21">
        <v>0</v>
      </c>
      <c r="R15" s="21">
        <v>0</v>
      </c>
      <c r="S15" s="21">
        <v>13</v>
      </c>
      <c r="T15" s="21">
        <v>1</v>
      </c>
      <c r="U15" s="21">
        <v>2</v>
      </c>
      <c r="V15" s="21">
        <v>0</v>
      </c>
      <c r="W15" s="21">
        <v>13</v>
      </c>
      <c r="X15" s="21">
        <v>0</v>
      </c>
      <c r="Y15" s="21">
        <v>1</v>
      </c>
      <c r="Z15" s="21">
        <v>6</v>
      </c>
      <c r="AA15" s="21">
        <v>273</v>
      </c>
      <c r="AB15" s="21">
        <v>0</v>
      </c>
      <c r="AC15" s="21">
        <v>0</v>
      </c>
      <c r="AD15" s="21">
        <v>0</v>
      </c>
      <c r="AE15" s="21">
        <v>20</v>
      </c>
      <c r="AF15" s="21">
        <v>2</v>
      </c>
      <c r="AG15" s="20">
        <f t="shared" si="0"/>
        <v>717</v>
      </c>
      <c r="AH15" s="21">
        <v>25</v>
      </c>
    </row>
    <row r="16" spans="1:34" s="22" customFormat="1" x14ac:dyDescent="0.3">
      <c r="A16" s="17" t="s">
        <v>15</v>
      </c>
      <c r="B16" s="18" t="s">
        <v>12</v>
      </c>
      <c r="C16" s="18" t="s">
        <v>30</v>
      </c>
      <c r="D16" s="19"/>
      <c r="E16" s="20">
        <v>1284</v>
      </c>
      <c r="F16" s="20">
        <v>8</v>
      </c>
      <c r="G16" s="21">
        <v>260</v>
      </c>
      <c r="H16" s="21">
        <v>551</v>
      </c>
      <c r="I16" s="21">
        <v>662</v>
      </c>
      <c r="J16" s="21"/>
      <c r="K16" s="21">
        <v>9</v>
      </c>
      <c r="L16" s="21">
        <v>2</v>
      </c>
      <c r="M16" s="21">
        <v>0</v>
      </c>
      <c r="N16" s="21">
        <v>260</v>
      </c>
      <c r="O16" s="21">
        <v>21</v>
      </c>
      <c r="P16" s="21">
        <v>5</v>
      </c>
      <c r="Q16" s="21">
        <v>0</v>
      </c>
      <c r="R16" s="21">
        <v>1</v>
      </c>
      <c r="S16" s="21">
        <v>17</v>
      </c>
      <c r="T16" s="21">
        <v>3</v>
      </c>
      <c r="U16" s="21">
        <v>4</v>
      </c>
      <c r="V16" s="21">
        <v>0</v>
      </c>
      <c r="W16" s="21">
        <v>19</v>
      </c>
      <c r="X16" s="21">
        <v>1</v>
      </c>
      <c r="Y16" s="21">
        <v>1</v>
      </c>
      <c r="Z16" s="21">
        <v>6</v>
      </c>
      <c r="AA16" s="21">
        <v>255</v>
      </c>
      <c r="AB16" s="21">
        <v>1</v>
      </c>
      <c r="AC16" s="21">
        <v>0</v>
      </c>
      <c r="AD16" s="21">
        <v>4</v>
      </c>
      <c r="AE16" s="21">
        <v>15</v>
      </c>
      <c r="AF16" s="21">
        <v>2</v>
      </c>
      <c r="AG16" s="20">
        <f t="shared" si="0"/>
        <v>626</v>
      </c>
      <c r="AH16" s="21">
        <v>35</v>
      </c>
    </row>
    <row r="17" spans="1:34" s="22" customFormat="1" x14ac:dyDescent="0.3">
      <c r="A17" s="17" t="s">
        <v>15</v>
      </c>
      <c r="B17" s="18" t="s">
        <v>12</v>
      </c>
      <c r="C17" s="18" t="s">
        <v>31</v>
      </c>
      <c r="D17" s="19"/>
      <c r="E17" s="20">
        <v>1014</v>
      </c>
      <c r="F17" s="20">
        <v>12</v>
      </c>
      <c r="G17" s="21">
        <v>207</v>
      </c>
      <c r="H17" s="21">
        <v>458</v>
      </c>
      <c r="I17" s="21">
        <v>527</v>
      </c>
      <c r="J17" s="21"/>
      <c r="K17" s="21">
        <v>9</v>
      </c>
      <c r="L17" s="21">
        <v>6</v>
      </c>
      <c r="M17" s="21">
        <v>0</v>
      </c>
      <c r="N17" s="21">
        <v>187</v>
      </c>
      <c r="O17" s="21">
        <v>26</v>
      </c>
      <c r="P17" s="21">
        <v>1</v>
      </c>
      <c r="Q17" s="21">
        <v>2</v>
      </c>
      <c r="R17" s="21">
        <v>1</v>
      </c>
      <c r="S17" s="21">
        <v>1</v>
      </c>
      <c r="T17" s="21">
        <v>0</v>
      </c>
      <c r="U17" s="21">
        <v>1</v>
      </c>
      <c r="V17" s="21">
        <v>1</v>
      </c>
      <c r="W17" s="21">
        <v>15</v>
      </c>
      <c r="X17" s="21">
        <v>1</v>
      </c>
      <c r="Y17" s="21">
        <v>4</v>
      </c>
      <c r="Z17" s="21">
        <v>0</v>
      </c>
      <c r="AA17" s="21">
        <v>207</v>
      </c>
      <c r="AB17" s="21">
        <v>0</v>
      </c>
      <c r="AC17" s="21">
        <v>1</v>
      </c>
      <c r="AD17" s="21">
        <v>0</v>
      </c>
      <c r="AE17" s="21">
        <v>32</v>
      </c>
      <c r="AF17" s="21">
        <v>0</v>
      </c>
      <c r="AG17" s="20">
        <f t="shared" si="0"/>
        <v>495</v>
      </c>
      <c r="AH17" s="21">
        <v>32</v>
      </c>
    </row>
    <row r="18" spans="1:34" s="22" customFormat="1" x14ac:dyDescent="0.3">
      <c r="A18" s="17" t="s">
        <v>15</v>
      </c>
      <c r="B18" s="18" t="s">
        <v>12</v>
      </c>
      <c r="C18" s="18" t="s">
        <v>32</v>
      </c>
      <c r="D18" s="19"/>
      <c r="E18" s="20">
        <v>1203</v>
      </c>
      <c r="F18" s="20">
        <v>6</v>
      </c>
      <c r="G18" s="21">
        <v>250</v>
      </c>
      <c r="H18" s="21">
        <v>536</v>
      </c>
      <c r="I18" s="21">
        <v>658</v>
      </c>
      <c r="J18" s="21"/>
      <c r="K18" s="21">
        <v>15</v>
      </c>
      <c r="L18" s="21">
        <v>1</v>
      </c>
      <c r="M18" s="21">
        <v>1</v>
      </c>
      <c r="N18" s="21">
        <v>204</v>
      </c>
      <c r="O18" s="21">
        <v>20</v>
      </c>
      <c r="P18" s="21">
        <v>3</v>
      </c>
      <c r="Q18" s="21">
        <v>3</v>
      </c>
      <c r="R18" s="21">
        <v>1</v>
      </c>
      <c r="S18" s="21">
        <v>8</v>
      </c>
      <c r="T18" s="21">
        <v>1</v>
      </c>
      <c r="U18" s="21">
        <v>1</v>
      </c>
      <c r="V18" s="21">
        <v>3</v>
      </c>
      <c r="W18" s="21">
        <v>10</v>
      </c>
      <c r="X18" s="21">
        <v>1</v>
      </c>
      <c r="Y18" s="21">
        <v>0</v>
      </c>
      <c r="Z18" s="21">
        <v>9</v>
      </c>
      <c r="AA18" s="21">
        <v>288</v>
      </c>
      <c r="AB18" s="21">
        <v>37</v>
      </c>
      <c r="AC18" s="21">
        <v>0</v>
      </c>
      <c r="AD18" s="21">
        <v>0</v>
      </c>
      <c r="AE18" s="21">
        <v>16</v>
      </c>
      <c r="AF18" s="21">
        <v>0</v>
      </c>
      <c r="AG18" s="20">
        <f t="shared" si="0"/>
        <v>622</v>
      </c>
      <c r="AH18" s="21">
        <v>36</v>
      </c>
    </row>
    <row r="19" spans="1:34" s="22" customFormat="1" x14ac:dyDescent="0.3">
      <c r="A19" s="17" t="s">
        <v>15</v>
      </c>
      <c r="B19" s="18" t="s">
        <v>12</v>
      </c>
      <c r="C19" s="18" t="s">
        <v>33</v>
      </c>
      <c r="D19" s="19"/>
      <c r="E19" s="20">
        <v>1131</v>
      </c>
      <c r="F19" s="20">
        <v>9</v>
      </c>
      <c r="G19" s="21">
        <v>217</v>
      </c>
      <c r="H19" s="21">
        <v>485</v>
      </c>
      <c r="I19" s="21">
        <v>637</v>
      </c>
      <c r="J19" s="21"/>
      <c r="K19" s="21">
        <v>11</v>
      </c>
      <c r="L19" s="21">
        <v>1</v>
      </c>
      <c r="M19" s="21">
        <v>1</v>
      </c>
      <c r="N19" s="21">
        <v>254</v>
      </c>
      <c r="O19" s="21">
        <v>28</v>
      </c>
      <c r="P19" s="21">
        <v>9</v>
      </c>
      <c r="Q19" s="21">
        <v>3</v>
      </c>
      <c r="R19" s="21">
        <v>1</v>
      </c>
      <c r="S19" s="21">
        <v>0</v>
      </c>
      <c r="T19" s="21">
        <v>0</v>
      </c>
      <c r="U19" s="21">
        <v>2</v>
      </c>
      <c r="V19" s="21">
        <v>0</v>
      </c>
      <c r="W19" s="21">
        <v>24</v>
      </c>
      <c r="X19" s="21">
        <v>1</v>
      </c>
      <c r="Y19" s="21">
        <v>0</v>
      </c>
      <c r="Z19" s="21">
        <v>3</v>
      </c>
      <c r="AA19" s="21">
        <v>243</v>
      </c>
      <c r="AB19" s="21">
        <v>2</v>
      </c>
      <c r="AC19" s="21">
        <v>1</v>
      </c>
      <c r="AD19" s="21">
        <v>0</v>
      </c>
      <c r="AE19" s="21">
        <v>32</v>
      </c>
      <c r="AF19" s="21">
        <v>1</v>
      </c>
      <c r="AG19" s="20">
        <f t="shared" si="0"/>
        <v>617</v>
      </c>
      <c r="AH19" s="21">
        <v>13</v>
      </c>
    </row>
    <row r="20" spans="1:34" s="22" customFormat="1" x14ac:dyDescent="0.3">
      <c r="A20" s="17" t="s">
        <v>15</v>
      </c>
      <c r="B20" s="18" t="s">
        <v>12</v>
      </c>
      <c r="C20" s="18" t="s">
        <v>34</v>
      </c>
      <c r="D20" s="19"/>
      <c r="E20" s="20">
        <v>930</v>
      </c>
      <c r="F20" s="20">
        <v>7</v>
      </c>
      <c r="G20" s="21">
        <v>207</v>
      </c>
      <c r="H20" s="21">
        <v>514</v>
      </c>
      <c r="I20" s="21">
        <v>550</v>
      </c>
      <c r="J20" s="21"/>
      <c r="K20" s="21">
        <v>15</v>
      </c>
      <c r="L20" s="21">
        <v>9</v>
      </c>
      <c r="M20" s="21">
        <v>3</v>
      </c>
      <c r="N20" s="21">
        <v>208</v>
      </c>
      <c r="O20" s="21">
        <v>17</v>
      </c>
      <c r="P20" s="21">
        <v>5</v>
      </c>
      <c r="Q20" s="21">
        <v>0</v>
      </c>
      <c r="R20" s="21">
        <v>0</v>
      </c>
      <c r="S20" s="21">
        <v>8</v>
      </c>
      <c r="T20" s="21">
        <v>0</v>
      </c>
      <c r="U20" s="21">
        <v>5</v>
      </c>
      <c r="V20" s="21">
        <v>1</v>
      </c>
      <c r="W20" s="21">
        <v>26</v>
      </c>
      <c r="X20" s="21">
        <v>0</v>
      </c>
      <c r="Y20" s="21">
        <v>4</v>
      </c>
      <c r="Z20" s="21">
        <v>2</v>
      </c>
      <c r="AA20" s="21">
        <v>202</v>
      </c>
      <c r="AB20" s="21">
        <v>4</v>
      </c>
      <c r="AC20" s="21">
        <v>1</v>
      </c>
      <c r="AD20" s="21">
        <v>1</v>
      </c>
      <c r="AE20" s="21">
        <v>17</v>
      </c>
      <c r="AF20" s="21">
        <v>0</v>
      </c>
      <c r="AG20" s="20">
        <f t="shared" si="0"/>
        <v>528</v>
      </c>
      <c r="AH20" s="21">
        <v>22</v>
      </c>
    </row>
    <row r="21" spans="1:34" s="22" customFormat="1" x14ac:dyDescent="0.3">
      <c r="A21" s="17" t="s">
        <v>15</v>
      </c>
      <c r="B21" s="18" t="s">
        <v>12</v>
      </c>
      <c r="C21" s="18" t="s">
        <v>35</v>
      </c>
      <c r="D21" s="19"/>
      <c r="E21" s="20">
        <v>1398</v>
      </c>
      <c r="F21" s="20">
        <v>9</v>
      </c>
      <c r="G21" s="21">
        <v>221</v>
      </c>
      <c r="H21" s="21">
        <v>592</v>
      </c>
      <c r="I21" s="21">
        <v>790</v>
      </c>
      <c r="J21" s="21"/>
      <c r="K21" s="21">
        <v>16</v>
      </c>
      <c r="L21" s="21">
        <v>6</v>
      </c>
      <c r="M21" s="21">
        <v>2</v>
      </c>
      <c r="N21" s="21">
        <v>222</v>
      </c>
      <c r="O21" s="21">
        <v>21</v>
      </c>
      <c r="P21" s="21">
        <v>5</v>
      </c>
      <c r="Q21" s="21">
        <v>4</v>
      </c>
      <c r="R21" s="21">
        <v>3</v>
      </c>
      <c r="S21" s="21">
        <v>9</v>
      </c>
      <c r="T21" s="21">
        <v>2</v>
      </c>
      <c r="U21" s="21">
        <v>7</v>
      </c>
      <c r="V21" s="21">
        <v>1</v>
      </c>
      <c r="W21" s="21">
        <v>37</v>
      </c>
      <c r="X21" s="21">
        <v>0</v>
      </c>
      <c r="Y21" s="21">
        <v>2</v>
      </c>
      <c r="Z21" s="21">
        <v>15</v>
      </c>
      <c r="AA21" s="21">
        <v>377</v>
      </c>
      <c r="AB21" s="21">
        <v>4</v>
      </c>
      <c r="AC21" s="21">
        <v>0</v>
      </c>
      <c r="AD21" s="21">
        <v>2</v>
      </c>
      <c r="AE21" s="21">
        <v>26</v>
      </c>
      <c r="AF21" s="21">
        <v>2</v>
      </c>
      <c r="AG21" s="20">
        <f t="shared" si="0"/>
        <v>763</v>
      </c>
      <c r="AH21" s="21">
        <v>24</v>
      </c>
    </row>
    <row r="22" spans="1:34" s="22" customFormat="1" x14ac:dyDescent="0.3">
      <c r="A22" s="17" t="s">
        <v>15</v>
      </c>
      <c r="B22" s="18" t="s">
        <v>12</v>
      </c>
      <c r="C22" s="18" t="s">
        <v>36</v>
      </c>
      <c r="D22" s="19"/>
      <c r="E22" s="20">
        <v>557</v>
      </c>
      <c r="F22" s="20">
        <v>8</v>
      </c>
      <c r="G22" s="21">
        <v>126</v>
      </c>
      <c r="H22" s="21">
        <v>256</v>
      </c>
      <c r="I22" s="21">
        <v>327</v>
      </c>
      <c r="J22" s="21"/>
      <c r="K22" s="21">
        <v>18</v>
      </c>
      <c r="L22" s="21">
        <v>0</v>
      </c>
      <c r="M22" s="21">
        <v>0</v>
      </c>
      <c r="N22" s="21">
        <v>86</v>
      </c>
      <c r="O22" s="21">
        <v>15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6</v>
      </c>
      <c r="X22" s="21">
        <v>0</v>
      </c>
      <c r="Y22" s="21">
        <v>0</v>
      </c>
      <c r="Z22" s="21">
        <v>0</v>
      </c>
      <c r="AA22" s="21">
        <v>168</v>
      </c>
      <c r="AB22" s="21">
        <v>0</v>
      </c>
      <c r="AC22" s="21">
        <v>0</v>
      </c>
      <c r="AD22" s="21">
        <v>0</v>
      </c>
      <c r="AE22" s="21">
        <v>34</v>
      </c>
      <c r="AF22" s="21">
        <v>0</v>
      </c>
      <c r="AG22" s="20">
        <f t="shared" si="0"/>
        <v>327</v>
      </c>
      <c r="AH22" s="21">
        <v>0</v>
      </c>
    </row>
    <row r="23" spans="1:34" s="22" customFormat="1" x14ac:dyDescent="0.3">
      <c r="A23" s="17" t="s">
        <v>15</v>
      </c>
      <c r="B23" s="18" t="s">
        <v>12</v>
      </c>
      <c r="C23" s="18" t="s">
        <v>37</v>
      </c>
      <c r="D23" s="19"/>
      <c r="E23" s="20">
        <v>366</v>
      </c>
      <c r="F23" s="20">
        <v>10</v>
      </c>
      <c r="G23" s="21">
        <v>80</v>
      </c>
      <c r="H23" s="21">
        <v>166</v>
      </c>
      <c r="I23" s="21">
        <v>192</v>
      </c>
      <c r="J23" s="21"/>
      <c r="K23" s="21">
        <v>5</v>
      </c>
      <c r="L23" s="21">
        <v>1</v>
      </c>
      <c r="M23" s="21">
        <v>1</v>
      </c>
      <c r="N23" s="21">
        <v>76</v>
      </c>
      <c r="O23" s="21">
        <v>7</v>
      </c>
      <c r="P23" s="21">
        <v>4</v>
      </c>
      <c r="Q23" s="21">
        <v>2</v>
      </c>
      <c r="R23" s="21">
        <v>0</v>
      </c>
      <c r="S23" s="21">
        <v>2</v>
      </c>
      <c r="T23" s="21">
        <v>0</v>
      </c>
      <c r="U23" s="21">
        <v>1</v>
      </c>
      <c r="V23" s="21">
        <v>0</v>
      </c>
      <c r="W23" s="21">
        <v>6</v>
      </c>
      <c r="X23" s="21">
        <v>0</v>
      </c>
      <c r="Y23" s="21">
        <v>0</v>
      </c>
      <c r="Z23" s="21">
        <v>0</v>
      </c>
      <c r="AA23" s="21">
        <v>69</v>
      </c>
      <c r="AB23" s="21">
        <v>0</v>
      </c>
      <c r="AC23" s="21">
        <v>0</v>
      </c>
      <c r="AD23" s="21">
        <v>0</v>
      </c>
      <c r="AE23" s="21">
        <v>10</v>
      </c>
      <c r="AF23" s="21">
        <v>0</v>
      </c>
      <c r="AG23" s="20">
        <f t="shared" si="0"/>
        <v>184</v>
      </c>
      <c r="AH23" s="21">
        <v>8</v>
      </c>
    </row>
    <row r="24" spans="1:34" s="22" customFormat="1" x14ac:dyDescent="0.3">
      <c r="A24" s="17" t="s">
        <v>15</v>
      </c>
      <c r="B24" s="18" t="s">
        <v>12</v>
      </c>
      <c r="C24" s="18" t="s">
        <v>38</v>
      </c>
      <c r="D24" s="19"/>
      <c r="E24" s="20">
        <v>737</v>
      </c>
      <c r="F24" s="20">
        <v>43</v>
      </c>
      <c r="G24" s="21">
        <v>167</v>
      </c>
      <c r="H24" s="21">
        <v>487</v>
      </c>
      <c r="I24" s="21">
        <v>612</v>
      </c>
      <c r="J24" s="21"/>
      <c r="K24" s="21">
        <v>15</v>
      </c>
      <c r="L24" s="21">
        <v>4</v>
      </c>
      <c r="M24" s="21">
        <v>1</v>
      </c>
      <c r="N24" s="21">
        <v>258</v>
      </c>
      <c r="O24" s="21">
        <v>11</v>
      </c>
      <c r="P24" s="21">
        <v>5</v>
      </c>
      <c r="Q24" s="21">
        <v>1</v>
      </c>
      <c r="R24" s="21">
        <v>0</v>
      </c>
      <c r="S24" s="21">
        <v>2</v>
      </c>
      <c r="T24" s="21">
        <v>1</v>
      </c>
      <c r="U24" s="21">
        <v>2</v>
      </c>
      <c r="V24" s="21">
        <v>0</v>
      </c>
      <c r="W24" s="21">
        <v>20</v>
      </c>
      <c r="X24" s="21">
        <v>0</v>
      </c>
      <c r="Y24" s="21">
        <v>0</v>
      </c>
      <c r="Z24" s="21">
        <v>10</v>
      </c>
      <c r="AA24" s="21">
        <v>244</v>
      </c>
      <c r="AB24" s="21">
        <v>2</v>
      </c>
      <c r="AC24" s="21">
        <v>2</v>
      </c>
      <c r="AD24" s="21">
        <v>0</v>
      </c>
      <c r="AE24" s="21">
        <v>12</v>
      </c>
      <c r="AF24" s="21">
        <v>1</v>
      </c>
      <c r="AG24" s="20">
        <f t="shared" si="0"/>
        <v>591</v>
      </c>
      <c r="AH24" s="21">
        <v>10</v>
      </c>
    </row>
    <row r="25" spans="1:34" s="22" customFormat="1" x14ac:dyDescent="0.3">
      <c r="A25" s="17" t="s">
        <v>15</v>
      </c>
      <c r="B25" s="18" t="s">
        <v>12</v>
      </c>
      <c r="C25" s="18" t="s">
        <v>39</v>
      </c>
      <c r="D25" s="19"/>
      <c r="E25" s="20">
        <v>1228</v>
      </c>
      <c r="F25" s="20">
        <v>9</v>
      </c>
      <c r="G25" s="21">
        <v>270</v>
      </c>
      <c r="H25" s="21">
        <v>630</v>
      </c>
      <c r="I25" s="21">
        <v>783</v>
      </c>
      <c r="J25" s="21"/>
      <c r="K25" s="21">
        <v>25</v>
      </c>
      <c r="L25" s="21">
        <v>12</v>
      </c>
      <c r="M25" s="21">
        <v>2</v>
      </c>
      <c r="N25" s="21">
        <v>303</v>
      </c>
      <c r="O25" s="21">
        <v>32</v>
      </c>
      <c r="P25" s="21">
        <v>4</v>
      </c>
      <c r="Q25" s="21">
        <v>2</v>
      </c>
      <c r="R25" s="21">
        <v>0</v>
      </c>
      <c r="S25" s="21">
        <v>4</v>
      </c>
      <c r="T25" s="21">
        <v>2</v>
      </c>
      <c r="U25" s="21">
        <v>4</v>
      </c>
      <c r="V25" s="21">
        <v>1</v>
      </c>
      <c r="W25" s="21">
        <v>28</v>
      </c>
      <c r="X25" s="21">
        <v>1</v>
      </c>
      <c r="Y25" s="21">
        <v>2</v>
      </c>
      <c r="Z25" s="21">
        <v>4</v>
      </c>
      <c r="AA25" s="21">
        <v>273</v>
      </c>
      <c r="AB25" s="21">
        <v>3</v>
      </c>
      <c r="AC25" s="21">
        <v>1</v>
      </c>
      <c r="AD25" s="21">
        <v>5</v>
      </c>
      <c r="AE25" s="21">
        <v>48</v>
      </c>
      <c r="AF25" s="21">
        <v>0</v>
      </c>
      <c r="AG25" s="20">
        <f t="shared" si="0"/>
        <v>756</v>
      </c>
      <c r="AH25" s="21">
        <v>23</v>
      </c>
    </row>
    <row r="26" spans="1:34" s="22" customFormat="1" x14ac:dyDescent="0.3">
      <c r="A26" s="17" t="s">
        <v>15</v>
      </c>
      <c r="B26" s="18" t="s">
        <v>12</v>
      </c>
      <c r="C26" s="18" t="s">
        <v>40</v>
      </c>
      <c r="D26" s="19"/>
      <c r="E26" s="20">
        <v>1278</v>
      </c>
      <c r="F26" s="20">
        <v>7</v>
      </c>
      <c r="G26" s="21">
        <v>283</v>
      </c>
      <c r="H26" s="21">
        <v>649</v>
      </c>
      <c r="I26" s="21">
        <v>816</v>
      </c>
      <c r="J26" s="21"/>
      <c r="K26" s="21">
        <v>23</v>
      </c>
      <c r="L26" s="21">
        <v>16</v>
      </c>
      <c r="M26" s="21">
        <v>0</v>
      </c>
      <c r="N26" s="21">
        <v>318</v>
      </c>
      <c r="O26" s="21">
        <v>35</v>
      </c>
      <c r="P26" s="21">
        <v>6</v>
      </c>
      <c r="Q26" s="21">
        <v>0</v>
      </c>
      <c r="R26" s="21">
        <v>0</v>
      </c>
      <c r="S26" s="21">
        <v>5</v>
      </c>
      <c r="T26" s="21">
        <v>1</v>
      </c>
      <c r="U26" s="21">
        <v>4</v>
      </c>
      <c r="V26" s="21">
        <v>1</v>
      </c>
      <c r="W26" s="21">
        <v>30</v>
      </c>
      <c r="X26" s="21">
        <v>0</v>
      </c>
      <c r="Y26" s="21">
        <v>0</v>
      </c>
      <c r="Z26" s="21">
        <v>3</v>
      </c>
      <c r="AA26" s="21">
        <v>257</v>
      </c>
      <c r="AB26" s="21">
        <v>3</v>
      </c>
      <c r="AC26" s="21">
        <v>3</v>
      </c>
      <c r="AD26" s="21">
        <v>1</v>
      </c>
      <c r="AE26" s="21">
        <v>71</v>
      </c>
      <c r="AF26" s="21">
        <v>2</v>
      </c>
      <c r="AG26" s="20">
        <f t="shared" si="0"/>
        <v>779</v>
      </c>
      <c r="AH26" s="21">
        <v>30</v>
      </c>
    </row>
    <row r="27" spans="1:34" s="22" customFormat="1" x14ac:dyDescent="0.3">
      <c r="A27" s="17" t="s">
        <v>15</v>
      </c>
      <c r="B27" s="18" t="s">
        <v>12</v>
      </c>
      <c r="C27" s="18" t="s">
        <v>41</v>
      </c>
      <c r="D27" s="19"/>
      <c r="E27" s="20">
        <v>1434</v>
      </c>
      <c r="F27" s="20">
        <v>4</v>
      </c>
      <c r="G27" s="21">
        <v>283</v>
      </c>
      <c r="H27" s="21">
        <v>743</v>
      </c>
      <c r="I27" s="21">
        <v>953</v>
      </c>
      <c r="J27" s="21"/>
      <c r="K27" s="21">
        <v>18</v>
      </c>
      <c r="L27" s="21">
        <v>13</v>
      </c>
      <c r="M27" s="21">
        <v>2</v>
      </c>
      <c r="N27" s="21">
        <v>292</v>
      </c>
      <c r="O27" s="21">
        <v>107</v>
      </c>
      <c r="P27" s="21">
        <v>5</v>
      </c>
      <c r="Q27" s="21">
        <v>0</v>
      </c>
      <c r="R27" s="21">
        <v>1</v>
      </c>
      <c r="S27" s="21">
        <v>16</v>
      </c>
      <c r="T27" s="21">
        <v>2</v>
      </c>
      <c r="U27" s="21">
        <v>0</v>
      </c>
      <c r="V27" s="21">
        <v>2</v>
      </c>
      <c r="W27" s="21">
        <v>36</v>
      </c>
      <c r="X27" s="21">
        <v>0</v>
      </c>
      <c r="Y27" s="21">
        <v>0</v>
      </c>
      <c r="Z27" s="21">
        <v>6</v>
      </c>
      <c r="AA27" s="21">
        <v>373</v>
      </c>
      <c r="AB27" s="21">
        <v>5</v>
      </c>
      <c r="AC27" s="21">
        <v>3</v>
      </c>
      <c r="AD27" s="21">
        <v>3</v>
      </c>
      <c r="AE27" s="21">
        <v>25</v>
      </c>
      <c r="AF27" s="21">
        <v>0</v>
      </c>
      <c r="AG27" s="20">
        <f t="shared" si="0"/>
        <v>909</v>
      </c>
      <c r="AH27" s="21">
        <v>42</v>
      </c>
    </row>
    <row r="28" spans="1:34" s="22" customFormat="1" x14ac:dyDescent="0.3">
      <c r="A28" s="17" t="s">
        <v>15</v>
      </c>
      <c r="B28" s="18" t="s">
        <v>12</v>
      </c>
      <c r="C28" s="18" t="s">
        <v>42</v>
      </c>
      <c r="D28" s="19"/>
      <c r="E28" s="20">
        <v>1155</v>
      </c>
      <c r="F28" s="20">
        <v>10</v>
      </c>
      <c r="G28" s="21">
        <v>260</v>
      </c>
      <c r="H28" s="21">
        <v>604</v>
      </c>
      <c r="I28" s="21">
        <v>768</v>
      </c>
      <c r="J28" s="21"/>
      <c r="K28" s="21">
        <v>16</v>
      </c>
      <c r="L28" s="21">
        <v>16</v>
      </c>
      <c r="M28" s="21">
        <v>0</v>
      </c>
      <c r="N28" s="21">
        <v>270</v>
      </c>
      <c r="O28" s="21">
        <v>102</v>
      </c>
      <c r="P28" s="21">
        <v>6</v>
      </c>
      <c r="Q28" s="21">
        <v>1</v>
      </c>
      <c r="R28" s="21">
        <v>2</v>
      </c>
      <c r="S28" s="21">
        <v>1</v>
      </c>
      <c r="T28" s="21">
        <v>1</v>
      </c>
      <c r="U28" s="21">
        <v>1</v>
      </c>
      <c r="V28" s="21">
        <v>1</v>
      </c>
      <c r="W28" s="21">
        <v>28</v>
      </c>
      <c r="X28" s="21">
        <v>0</v>
      </c>
      <c r="Y28" s="21">
        <v>0</v>
      </c>
      <c r="Z28" s="21">
        <v>2</v>
      </c>
      <c r="AA28" s="21">
        <v>252</v>
      </c>
      <c r="AB28" s="21">
        <v>5</v>
      </c>
      <c r="AC28" s="21">
        <v>0</v>
      </c>
      <c r="AD28" s="21">
        <v>3</v>
      </c>
      <c r="AE28" s="21">
        <v>20</v>
      </c>
      <c r="AF28" s="21">
        <v>1</v>
      </c>
      <c r="AG28" s="20">
        <f t="shared" si="0"/>
        <v>728</v>
      </c>
      <c r="AH28" s="21">
        <v>36</v>
      </c>
    </row>
    <row r="29" spans="1:34" s="22" customFormat="1" x14ac:dyDescent="0.3">
      <c r="A29" s="17" t="s">
        <v>15</v>
      </c>
      <c r="B29" s="18" t="s">
        <v>12</v>
      </c>
      <c r="C29" s="18" t="s">
        <v>43</v>
      </c>
      <c r="D29" s="19"/>
      <c r="E29" s="20">
        <v>1023</v>
      </c>
      <c r="F29" s="20">
        <v>10</v>
      </c>
      <c r="G29" s="21">
        <v>215</v>
      </c>
      <c r="H29" s="21">
        <v>500</v>
      </c>
      <c r="I29" s="21">
        <v>606</v>
      </c>
      <c r="J29" s="21"/>
      <c r="K29" s="21">
        <v>30</v>
      </c>
      <c r="L29" s="21">
        <v>3</v>
      </c>
      <c r="M29" s="21">
        <v>0</v>
      </c>
      <c r="N29" s="21">
        <v>189</v>
      </c>
      <c r="O29" s="21">
        <v>40</v>
      </c>
      <c r="P29" s="21">
        <v>3</v>
      </c>
      <c r="Q29" s="21">
        <v>2</v>
      </c>
      <c r="R29" s="21">
        <v>0</v>
      </c>
      <c r="S29" s="21">
        <v>3</v>
      </c>
      <c r="T29" s="21">
        <v>2</v>
      </c>
      <c r="U29" s="21">
        <v>5</v>
      </c>
      <c r="V29" s="21">
        <v>0</v>
      </c>
      <c r="W29" s="21">
        <v>25</v>
      </c>
      <c r="X29" s="21">
        <v>0</v>
      </c>
      <c r="Y29" s="21">
        <v>2</v>
      </c>
      <c r="Z29" s="21">
        <v>7</v>
      </c>
      <c r="AA29" s="21">
        <v>266</v>
      </c>
      <c r="AB29" s="21">
        <v>2</v>
      </c>
      <c r="AC29" s="21">
        <v>0</v>
      </c>
      <c r="AD29" s="21">
        <v>0</v>
      </c>
      <c r="AE29" s="21">
        <v>14</v>
      </c>
      <c r="AF29" s="21">
        <v>1</v>
      </c>
      <c r="AG29" s="20">
        <f t="shared" si="0"/>
        <v>594</v>
      </c>
      <c r="AH29" s="21">
        <v>12</v>
      </c>
    </row>
    <row r="30" spans="1:34" s="22" customFormat="1" x14ac:dyDescent="0.3">
      <c r="A30" s="17" t="s">
        <v>15</v>
      </c>
      <c r="B30" s="18" t="s">
        <v>12</v>
      </c>
      <c r="C30" s="18" t="s">
        <v>44</v>
      </c>
      <c r="D30" s="19"/>
      <c r="E30" s="20">
        <v>1185</v>
      </c>
      <c r="F30" s="20">
        <v>5</v>
      </c>
      <c r="G30" s="21">
        <v>265</v>
      </c>
      <c r="H30" s="21">
        <v>640</v>
      </c>
      <c r="I30" s="21">
        <v>779</v>
      </c>
      <c r="J30" s="21"/>
      <c r="K30" s="21">
        <v>36</v>
      </c>
      <c r="L30" s="21">
        <v>3</v>
      </c>
      <c r="M30" s="21">
        <v>0</v>
      </c>
      <c r="N30" s="21">
        <v>288</v>
      </c>
      <c r="O30" s="21">
        <v>42</v>
      </c>
      <c r="P30" s="21">
        <v>13</v>
      </c>
      <c r="Q30" s="21">
        <v>1</v>
      </c>
      <c r="R30" s="21">
        <v>1</v>
      </c>
      <c r="S30" s="21">
        <v>6</v>
      </c>
      <c r="T30" s="21">
        <v>1</v>
      </c>
      <c r="U30" s="21">
        <v>4</v>
      </c>
      <c r="V30" s="21">
        <v>0</v>
      </c>
      <c r="W30" s="21">
        <v>30</v>
      </c>
      <c r="X30" s="21">
        <v>0</v>
      </c>
      <c r="Y30" s="21">
        <v>1</v>
      </c>
      <c r="Z30" s="21">
        <v>11</v>
      </c>
      <c r="AA30" s="21">
        <v>292</v>
      </c>
      <c r="AB30" s="21">
        <v>5</v>
      </c>
      <c r="AC30" s="21">
        <v>1</v>
      </c>
      <c r="AD30" s="21">
        <v>2</v>
      </c>
      <c r="AE30" s="21">
        <v>17</v>
      </c>
      <c r="AF30" s="21">
        <v>1</v>
      </c>
      <c r="AG30" s="20">
        <f t="shared" si="0"/>
        <v>755</v>
      </c>
      <c r="AH30" s="21">
        <v>20</v>
      </c>
    </row>
    <row r="31" spans="1:34" s="22" customFormat="1" x14ac:dyDescent="0.3">
      <c r="A31" s="17" t="s">
        <v>15</v>
      </c>
      <c r="B31" s="18" t="s">
        <v>12</v>
      </c>
      <c r="C31" s="18" t="s">
        <v>45</v>
      </c>
      <c r="D31" s="19"/>
      <c r="E31" s="20">
        <v>849</v>
      </c>
      <c r="F31" s="20">
        <v>5</v>
      </c>
      <c r="G31" s="21">
        <v>187</v>
      </c>
      <c r="H31" s="21">
        <v>425</v>
      </c>
      <c r="I31" s="21">
        <v>531</v>
      </c>
      <c r="J31" s="21"/>
      <c r="K31" s="21">
        <v>12</v>
      </c>
      <c r="L31" s="21">
        <v>12</v>
      </c>
      <c r="M31" s="21">
        <v>2</v>
      </c>
      <c r="N31" s="21">
        <v>188</v>
      </c>
      <c r="O31" s="21">
        <v>51</v>
      </c>
      <c r="P31" s="21">
        <v>4</v>
      </c>
      <c r="Q31" s="21">
        <v>1</v>
      </c>
      <c r="R31" s="21">
        <v>2</v>
      </c>
      <c r="S31" s="21">
        <v>6</v>
      </c>
      <c r="T31" s="21">
        <v>2</v>
      </c>
      <c r="U31" s="21">
        <v>4</v>
      </c>
      <c r="V31" s="21">
        <v>0</v>
      </c>
      <c r="W31" s="21">
        <v>6</v>
      </c>
      <c r="X31" s="21">
        <v>1</v>
      </c>
      <c r="Y31" s="21">
        <v>2</v>
      </c>
      <c r="Z31" s="21">
        <v>5</v>
      </c>
      <c r="AA31" s="21">
        <v>201</v>
      </c>
      <c r="AB31" s="21">
        <v>1</v>
      </c>
      <c r="AC31" s="21">
        <v>0</v>
      </c>
      <c r="AD31" s="21">
        <v>1</v>
      </c>
      <c r="AE31" s="21">
        <v>21</v>
      </c>
      <c r="AF31" s="21">
        <v>1</v>
      </c>
      <c r="AG31" s="20">
        <f t="shared" si="0"/>
        <v>523</v>
      </c>
      <c r="AH31" s="21">
        <v>8</v>
      </c>
    </row>
    <row r="32" spans="1:34" s="28" customFormat="1" x14ac:dyDescent="0.3">
      <c r="A32" s="23" t="s">
        <v>15</v>
      </c>
      <c r="B32" s="24" t="s">
        <v>12</v>
      </c>
      <c r="C32" s="24" t="s">
        <v>46</v>
      </c>
      <c r="D32" s="25"/>
      <c r="E32" s="26">
        <v>1490</v>
      </c>
      <c r="F32" s="26">
        <v>6</v>
      </c>
      <c r="G32" s="27">
        <v>297</v>
      </c>
      <c r="H32" s="27">
        <v>707</v>
      </c>
      <c r="I32" s="27">
        <v>886</v>
      </c>
      <c r="J32" s="27"/>
      <c r="K32" s="27">
        <v>19</v>
      </c>
      <c r="L32" s="27">
        <v>10</v>
      </c>
      <c r="M32" s="27">
        <v>0</v>
      </c>
      <c r="N32" s="27">
        <v>250</v>
      </c>
      <c r="O32" s="27">
        <v>63</v>
      </c>
      <c r="P32" s="27">
        <v>3</v>
      </c>
      <c r="Q32" s="27">
        <v>9</v>
      </c>
      <c r="R32" s="27">
        <v>0</v>
      </c>
      <c r="S32" s="27">
        <v>1</v>
      </c>
      <c r="T32" s="27">
        <v>0</v>
      </c>
      <c r="U32" s="27">
        <v>0</v>
      </c>
      <c r="V32" s="27">
        <v>0</v>
      </c>
      <c r="W32" s="27">
        <v>40</v>
      </c>
      <c r="X32" s="27">
        <v>1</v>
      </c>
      <c r="Y32" s="27">
        <v>1</v>
      </c>
      <c r="Z32" s="27">
        <v>7</v>
      </c>
      <c r="AA32" s="27">
        <v>405</v>
      </c>
      <c r="AB32" s="27">
        <v>2</v>
      </c>
      <c r="AC32" s="27">
        <v>1</v>
      </c>
      <c r="AD32" s="27">
        <v>3</v>
      </c>
      <c r="AE32" s="27">
        <v>32</v>
      </c>
      <c r="AF32" s="27">
        <v>0</v>
      </c>
      <c r="AG32" s="26">
        <f t="shared" si="0"/>
        <v>847</v>
      </c>
      <c r="AH32" s="27">
        <v>36</v>
      </c>
    </row>
    <row r="33" spans="1:34" s="22" customFormat="1" x14ac:dyDescent="0.3">
      <c r="A33" s="17" t="s">
        <v>15</v>
      </c>
      <c r="B33" s="18" t="s">
        <v>12</v>
      </c>
      <c r="C33" s="18" t="s">
        <v>47</v>
      </c>
      <c r="D33" s="19"/>
      <c r="E33" s="20">
        <v>540</v>
      </c>
      <c r="F33" s="20">
        <v>3</v>
      </c>
      <c r="G33" s="21">
        <v>160</v>
      </c>
      <c r="H33" s="21">
        <v>330</v>
      </c>
      <c r="I33" s="21">
        <v>385</v>
      </c>
      <c r="J33" s="21"/>
      <c r="K33" s="21">
        <v>9</v>
      </c>
      <c r="L33" s="21">
        <v>4</v>
      </c>
      <c r="M33" s="21">
        <v>0</v>
      </c>
      <c r="N33" s="21">
        <v>126</v>
      </c>
      <c r="O33" s="21">
        <v>14</v>
      </c>
      <c r="P33" s="21">
        <v>5</v>
      </c>
      <c r="Q33" s="21">
        <v>0</v>
      </c>
      <c r="R33" s="21">
        <v>2</v>
      </c>
      <c r="S33" s="21">
        <v>1</v>
      </c>
      <c r="T33" s="21">
        <v>0</v>
      </c>
      <c r="U33" s="21">
        <v>0</v>
      </c>
      <c r="V33" s="21">
        <v>0</v>
      </c>
      <c r="W33" s="21">
        <v>9</v>
      </c>
      <c r="X33" s="21">
        <v>0</v>
      </c>
      <c r="Y33" s="21">
        <v>0</v>
      </c>
      <c r="Z33" s="21">
        <v>1</v>
      </c>
      <c r="AA33" s="21">
        <v>188</v>
      </c>
      <c r="AB33" s="21">
        <v>1</v>
      </c>
      <c r="AC33" s="21">
        <v>0</v>
      </c>
      <c r="AD33" s="21">
        <v>3</v>
      </c>
      <c r="AE33" s="21">
        <v>4</v>
      </c>
      <c r="AF33" s="21">
        <v>1</v>
      </c>
      <c r="AG33" s="20">
        <f t="shared" si="0"/>
        <v>368</v>
      </c>
      <c r="AH33" s="21">
        <v>17</v>
      </c>
    </row>
    <row r="34" spans="1:34" s="22" customFormat="1" x14ac:dyDescent="0.3">
      <c r="A34" s="17" t="s">
        <v>15</v>
      </c>
      <c r="B34" s="18" t="s">
        <v>12</v>
      </c>
      <c r="C34" s="18" t="s">
        <v>48</v>
      </c>
      <c r="D34" s="19"/>
      <c r="E34" s="20">
        <v>1339</v>
      </c>
      <c r="F34" s="20">
        <v>5</v>
      </c>
      <c r="G34" s="21">
        <v>295</v>
      </c>
      <c r="H34" s="21">
        <v>725</v>
      </c>
      <c r="I34" s="21">
        <v>909</v>
      </c>
      <c r="J34" s="21"/>
      <c r="K34" s="21">
        <v>5</v>
      </c>
      <c r="L34" s="21">
        <v>15</v>
      </c>
      <c r="M34" s="21">
        <v>0</v>
      </c>
      <c r="N34" s="21">
        <v>199</v>
      </c>
      <c r="O34" s="21">
        <v>41</v>
      </c>
      <c r="P34" s="21">
        <v>5</v>
      </c>
      <c r="Q34" s="21">
        <v>1</v>
      </c>
      <c r="R34" s="21">
        <v>0</v>
      </c>
      <c r="S34" s="21">
        <v>3</v>
      </c>
      <c r="T34" s="21">
        <v>1</v>
      </c>
      <c r="U34" s="21">
        <v>1</v>
      </c>
      <c r="V34" s="21">
        <v>1</v>
      </c>
      <c r="W34" s="21">
        <v>13</v>
      </c>
      <c r="X34" s="21">
        <v>2</v>
      </c>
      <c r="Y34" s="21">
        <v>1</v>
      </c>
      <c r="Z34" s="21">
        <v>6</v>
      </c>
      <c r="AA34" s="21">
        <v>564</v>
      </c>
      <c r="AB34" s="21">
        <v>1</v>
      </c>
      <c r="AC34" s="21">
        <v>1</v>
      </c>
      <c r="AD34" s="21">
        <v>1</v>
      </c>
      <c r="AE34" s="21">
        <v>18</v>
      </c>
      <c r="AF34" s="21">
        <v>0</v>
      </c>
      <c r="AG34" s="20">
        <f t="shared" ref="AG34:AG44" si="1">SUM(K34:AF34)</f>
        <v>879</v>
      </c>
      <c r="AH34" s="21">
        <v>30</v>
      </c>
    </row>
    <row r="35" spans="1:34" s="22" customFormat="1" x14ac:dyDescent="0.3">
      <c r="A35" s="17" t="s">
        <v>15</v>
      </c>
      <c r="B35" s="18" t="s">
        <v>12</v>
      </c>
      <c r="C35" s="18" t="s">
        <v>49</v>
      </c>
      <c r="D35" s="19"/>
      <c r="E35" s="20">
        <v>617</v>
      </c>
      <c r="F35" s="20">
        <v>1</v>
      </c>
      <c r="G35" s="21">
        <v>132</v>
      </c>
      <c r="H35" s="21">
        <v>321</v>
      </c>
      <c r="I35" s="21">
        <v>397</v>
      </c>
      <c r="J35" s="21"/>
      <c r="K35" s="21">
        <v>21</v>
      </c>
      <c r="L35" s="21">
        <v>1</v>
      </c>
      <c r="M35" s="21">
        <v>0</v>
      </c>
      <c r="N35" s="21">
        <v>87</v>
      </c>
      <c r="O35" s="21">
        <v>22</v>
      </c>
      <c r="P35" s="21">
        <v>0</v>
      </c>
      <c r="Q35" s="21">
        <v>1</v>
      </c>
      <c r="R35" s="21">
        <v>2</v>
      </c>
      <c r="S35" s="21">
        <v>10</v>
      </c>
      <c r="T35" s="21">
        <v>0</v>
      </c>
      <c r="U35" s="21">
        <v>0</v>
      </c>
      <c r="V35" s="21">
        <v>0</v>
      </c>
      <c r="W35" s="21">
        <v>8</v>
      </c>
      <c r="X35" s="21">
        <v>2</v>
      </c>
      <c r="Y35" s="21">
        <v>2</v>
      </c>
      <c r="Z35" s="21">
        <v>6</v>
      </c>
      <c r="AA35" s="21">
        <v>216</v>
      </c>
      <c r="AB35" s="21">
        <v>4</v>
      </c>
      <c r="AC35" s="21">
        <v>0</v>
      </c>
      <c r="AD35" s="21">
        <v>0</v>
      </c>
      <c r="AE35" s="21">
        <v>3</v>
      </c>
      <c r="AF35" s="21">
        <v>1</v>
      </c>
      <c r="AG35" s="20">
        <f t="shared" si="1"/>
        <v>386</v>
      </c>
      <c r="AH35" s="21">
        <v>10</v>
      </c>
    </row>
    <row r="36" spans="1:34" s="22" customFormat="1" x14ac:dyDescent="0.3">
      <c r="A36" s="17" t="s">
        <v>15</v>
      </c>
      <c r="B36" s="18" t="s">
        <v>12</v>
      </c>
      <c r="C36" s="18" t="s">
        <v>50</v>
      </c>
      <c r="D36" s="19"/>
      <c r="E36" s="20">
        <v>579</v>
      </c>
      <c r="F36" s="20">
        <v>5</v>
      </c>
      <c r="G36" s="21">
        <v>118</v>
      </c>
      <c r="H36" s="21">
        <v>286</v>
      </c>
      <c r="I36" s="21">
        <v>331</v>
      </c>
      <c r="J36" s="21"/>
      <c r="K36" s="21">
        <v>3</v>
      </c>
      <c r="L36" s="21">
        <v>0</v>
      </c>
      <c r="M36" s="21">
        <v>3</v>
      </c>
      <c r="N36" s="21">
        <v>104</v>
      </c>
      <c r="O36" s="21">
        <v>38</v>
      </c>
      <c r="P36" s="21">
        <v>0</v>
      </c>
      <c r="Q36" s="21">
        <v>1</v>
      </c>
      <c r="R36" s="21">
        <v>2</v>
      </c>
      <c r="S36" s="21">
        <v>3</v>
      </c>
      <c r="T36" s="21">
        <v>1</v>
      </c>
      <c r="U36" s="21">
        <v>0</v>
      </c>
      <c r="V36" s="21">
        <v>0</v>
      </c>
      <c r="W36" s="21">
        <v>10</v>
      </c>
      <c r="X36" s="21">
        <v>0</v>
      </c>
      <c r="Y36" s="21">
        <v>0</v>
      </c>
      <c r="Z36" s="21">
        <v>0</v>
      </c>
      <c r="AA36" s="21">
        <v>145</v>
      </c>
      <c r="AB36" s="21">
        <v>0</v>
      </c>
      <c r="AC36" s="21">
        <v>0</v>
      </c>
      <c r="AD36" s="21">
        <v>2</v>
      </c>
      <c r="AE36" s="21">
        <v>0</v>
      </c>
      <c r="AF36" s="21">
        <v>0</v>
      </c>
      <c r="AG36" s="20">
        <f t="shared" si="1"/>
        <v>312</v>
      </c>
      <c r="AH36" s="21">
        <v>16</v>
      </c>
    </row>
    <row r="37" spans="1:34" s="22" customFormat="1" x14ac:dyDescent="0.3">
      <c r="A37" s="17" t="s">
        <v>15</v>
      </c>
      <c r="B37" s="18" t="s">
        <v>12</v>
      </c>
      <c r="C37" s="18" t="s">
        <v>51</v>
      </c>
      <c r="D37" s="19"/>
      <c r="E37" s="20">
        <v>309</v>
      </c>
      <c r="F37" s="20">
        <v>1</v>
      </c>
      <c r="G37" s="21">
        <v>84</v>
      </c>
      <c r="H37" s="21">
        <v>208</v>
      </c>
      <c r="I37" s="21">
        <v>239</v>
      </c>
      <c r="J37" s="21"/>
      <c r="K37" s="21">
        <v>7</v>
      </c>
      <c r="L37" s="21">
        <v>0</v>
      </c>
      <c r="M37" s="21">
        <v>0</v>
      </c>
      <c r="N37" s="21">
        <v>67</v>
      </c>
      <c r="O37" s="21">
        <v>9</v>
      </c>
      <c r="P37" s="21">
        <v>1</v>
      </c>
      <c r="Q37" s="21">
        <v>0</v>
      </c>
      <c r="R37" s="21">
        <v>0</v>
      </c>
      <c r="S37" s="21">
        <v>4</v>
      </c>
      <c r="T37" s="21">
        <v>0</v>
      </c>
      <c r="U37" s="21">
        <v>2</v>
      </c>
      <c r="V37" s="21">
        <v>0</v>
      </c>
      <c r="W37" s="21">
        <v>4</v>
      </c>
      <c r="X37" s="21">
        <v>0</v>
      </c>
      <c r="Y37" s="21">
        <v>0</v>
      </c>
      <c r="Z37" s="21">
        <v>0</v>
      </c>
      <c r="AA37" s="21">
        <v>130</v>
      </c>
      <c r="AB37" s="21">
        <v>0</v>
      </c>
      <c r="AC37" s="21">
        <v>0</v>
      </c>
      <c r="AD37" s="21">
        <v>1</v>
      </c>
      <c r="AE37" s="21">
        <v>9</v>
      </c>
      <c r="AF37" s="21">
        <v>1</v>
      </c>
      <c r="AG37" s="20">
        <f t="shared" si="1"/>
        <v>235</v>
      </c>
      <c r="AH37" s="21">
        <v>4</v>
      </c>
    </row>
    <row r="38" spans="1:34" s="22" customFormat="1" x14ac:dyDescent="0.3">
      <c r="A38" s="17" t="s">
        <v>15</v>
      </c>
      <c r="B38" s="18" t="s">
        <v>12</v>
      </c>
      <c r="C38" s="18" t="s">
        <v>52</v>
      </c>
      <c r="D38" s="19"/>
      <c r="E38" s="20">
        <v>512</v>
      </c>
      <c r="F38" s="20">
        <v>2</v>
      </c>
      <c r="G38" s="21">
        <v>86</v>
      </c>
      <c r="H38" s="21">
        <v>290</v>
      </c>
      <c r="I38" s="21">
        <v>362</v>
      </c>
      <c r="J38" s="21"/>
      <c r="K38" s="21">
        <v>7</v>
      </c>
      <c r="L38" s="21">
        <v>5</v>
      </c>
      <c r="M38" s="21">
        <v>2</v>
      </c>
      <c r="N38" s="21">
        <v>56</v>
      </c>
      <c r="O38" s="21">
        <v>37</v>
      </c>
      <c r="P38" s="21">
        <v>0</v>
      </c>
      <c r="Q38" s="21">
        <v>2</v>
      </c>
      <c r="R38" s="21">
        <v>1</v>
      </c>
      <c r="S38" s="21">
        <v>14</v>
      </c>
      <c r="T38" s="21">
        <v>1</v>
      </c>
      <c r="U38" s="21">
        <v>0</v>
      </c>
      <c r="V38" s="21">
        <v>1</v>
      </c>
      <c r="W38" s="21">
        <v>5</v>
      </c>
      <c r="X38" s="21">
        <v>0</v>
      </c>
      <c r="Y38" s="21">
        <v>0</v>
      </c>
      <c r="Z38" s="21">
        <v>1</v>
      </c>
      <c r="AA38" s="21">
        <v>199</v>
      </c>
      <c r="AB38" s="21">
        <v>0</v>
      </c>
      <c r="AC38" s="21">
        <v>1</v>
      </c>
      <c r="AD38" s="21">
        <v>1</v>
      </c>
      <c r="AE38" s="21">
        <v>16</v>
      </c>
      <c r="AF38" s="21">
        <v>1</v>
      </c>
      <c r="AG38" s="20">
        <f t="shared" si="1"/>
        <v>350</v>
      </c>
      <c r="AH38" s="21">
        <v>12</v>
      </c>
    </row>
    <row r="39" spans="1:34" s="22" customFormat="1" x14ac:dyDescent="0.3">
      <c r="A39" s="17" t="s">
        <v>15</v>
      </c>
      <c r="B39" s="18" t="s">
        <v>12</v>
      </c>
      <c r="C39" s="18" t="s">
        <v>53</v>
      </c>
      <c r="D39" s="19"/>
      <c r="E39" s="20">
        <v>323</v>
      </c>
      <c r="F39" s="20">
        <v>19</v>
      </c>
      <c r="G39" s="21">
        <v>87</v>
      </c>
      <c r="H39" s="21">
        <v>215</v>
      </c>
      <c r="I39" s="21">
        <v>255</v>
      </c>
      <c r="J39" s="21"/>
      <c r="K39" s="21">
        <v>3</v>
      </c>
      <c r="L39" s="21">
        <v>1</v>
      </c>
      <c r="M39" s="21">
        <v>1</v>
      </c>
      <c r="N39" s="21">
        <v>59</v>
      </c>
      <c r="O39" s="21">
        <v>18</v>
      </c>
      <c r="P39" s="21">
        <v>2</v>
      </c>
      <c r="Q39" s="21">
        <v>0</v>
      </c>
      <c r="R39" s="21">
        <v>0</v>
      </c>
      <c r="S39" s="21">
        <v>2</v>
      </c>
      <c r="T39" s="21">
        <v>0</v>
      </c>
      <c r="U39" s="21">
        <v>1</v>
      </c>
      <c r="V39" s="21">
        <v>0</v>
      </c>
      <c r="W39" s="21">
        <v>5</v>
      </c>
      <c r="X39" s="21">
        <v>0</v>
      </c>
      <c r="Y39" s="21">
        <v>1</v>
      </c>
      <c r="Z39" s="21">
        <v>5</v>
      </c>
      <c r="AA39" s="21">
        <v>124</v>
      </c>
      <c r="AB39" s="21">
        <v>2</v>
      </c>
      <c r="AC39" s="21">
        <v>0</v>
      </c>
      <c r="AD39" s="21">
        <v>1</v>
      </c>
      <c r="AE39" s="21">
        <v>6</v>
      </c>
      <c r="AF39" s="21">
        <v>0</v>
      </c>
      <c r="AG39" s="20">
        <f t="shared" si="1"/>
        <v>231</v>
      </c>
      <c r="AH39" s="21">
        <v>7</v>
      </c>
    </row>
    <row r="40" spans="1:34" s="22" customFormat="1" x14ac:dyDescent="0.3">
      <c r="A40" s="17" t="s">
        <v>15</v>
      </c>
      <c r="B40" s="18" t="s">
        <v>12</v>
      </c>
      <c r="C40" s="18" t="s">
        <v>54</v>
      </c>
      <c r="D40" s="19"/>
      <c r="E40" s="20">
        <v>783</v>
      </c>
      <c r="F40" s="20">
        <v>26</v>
      </c>
      <c r="G40" s="21">
        <v>158</v>
      </c>
      <c r="H40" s="21">
        <v>455</v>
      </c>
      <c r="I40" s="21">
        <v>582</v>
      </c>
      <c r="J40" s="21"/>
      <c r="K40" s="21">
        <v>8</v>
      </c>
      <c r="L40" s="21">
        <v>3</v>
      </c>
      <c r="M40" s="21">
        <v>1</v>
      </c>
      <c r="N40" s="21">
        <v>185</v>
      </c>
      <c r="O40" s="21">
        <v>20</v>
      </c>
      <c r="P40" s="21">
        <v>6</v>
      </c>
      <c r="Q40" s="21">
        <v>2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11</v>
      </c>
      <c r="X40" s="21">
        <v>1</v>
      </c>
      <c r="Y40" s="21">
        <v>1</v>
      </c>
      <c r="Z40" s="21">
        <v>4</v>
      </c>
      <c r="AA40" s="21">
        <v>290</v>
      </c>
      <c r="AB40" s="21">
        <v>0</v>
      </c>
      <c r="AC40" s="21">
        <v>0</v>
      </c>
      <c r="AD40" s="21">
        <v>3</v>
      </c>
      <c r="AE40" s="21">
        <v>32</v>
      </c>
      <c r="AF40" s="21">
        <v>0</v>
      </c>
      <c r="AG40" s="20">
        <f t="shared" si="1"/>
        <v>567</v>
      </c>
      <c r="AH40" s="21">
        <v>10</v>
      </c>
    </row>
    <row r="41" spans="1:34" s="22" customFormat="1" x14ac:dyDescent="0.3">
      <c r="A41" s="17" t="s">
        <v>15</v>
      </c>
      <c r="B41" s="18" t="s">
        <v>12</v>
      </c>
      <c r="C41" s="18" t="s">
        <v>55</v>
      </c>
      <c r="D41" s="19"/>
      <c r="E41" s="20">
        <v>531</v>
      </c>
      <c r="F41" s="20">
        <v>1</v>
      </c>
      <c r="G41" s="21">
        <v>104</v>
      </c>
      <c r="H41" s="21">
        <v>257</v>
      </c>
      <c r="I41" s="21">
        <v>395</v>
      </c>
      <c r="J41" s="21"/>
      <c r="K41" s="21">
        <v>27</v>
      </c>
      <c r="L41" s="21">
        <v>3</v>
      </c>
      <c r="M41" s="21">
        <v>0</v>
      </c>
      <c r="N41" s="21">
        <v>81</v>
      </c>
      <c r="O41" s="21">
        <v>45</v>
      </c>
      <c r="P41" s="21">
        <v>3</v>
      </c>
      <c r="Q41" s="21">
        <v>3</v>
      </c>
      <c r="R41" s="21">
        <v>1</v>
      </c>
      <c r="S41" s="21">
        <v>7</v>
      </c>
      <c r="T41" s="21">
        <v>0</v>
      </c>
      <c r="U41" s="21">
        <v>1</v>
      </c>
      <c r="V41" s="21">
        <v>1</v>
      </c>
      <c r="W41" s="21">
        <v>13</v>
      </c>
      <c r="X41" s="21">
        <v>0</v>
      </c>
      <c r="Y41" s="21">
        <v>0</v>
      </c>
      <c r="Z41" s="21">
        <v>0</v>
      </c>
      <c r="AA41" s="21">
        <v>158</v>
      </c>
      <c r="AB41" s="21">
        <v>0</v>
      </c>
      <c r="AC41" s="21">
        <v>0</v>
      </c>
      <c r="AD41" s="21">
        <v>1</v>
      </c>
      <c r="AE41" s="21">
        <v>40</v>
      </c>
      <c r="AF41" s="21">
        <v>4</v>
      </c>
      <c r="AG41" s="20">
        <f t="shared" si="1"/>
        <v>388</v>
      </c>
      <c r="AH41" s="21">
        <v>7</v>
      </c>
    </row>
    <row r="42" spans="1:34" s="22" customFormat="1" x14ac:dyDescent="0.3">
      <c r="A42" s="17" t="s">
        <v>15</v>
      </c>
      <c r="B42" s="18" t="s">
        <v>12</v>
      </c>
      <c r="C42" s="18" t="s">
        <v>56</v>
      </c>
      <c r="D42" s="19"/>
      <c r="E42" s="20">
        <v>855</v>
      </c>
      <c r="F42" s="20">
        <v>11</v>
      </c>
      <c r="G42" s="21">
        <v>167</v>
      </c>
      <c r="H42" s="21">
        <v>379</v>
      </c>
      <c r="I42" s="21">
        <v>448</v>
      </c>
      <c r="J42" s="21"/>
      <c r="K42" s="21">
        <v>23</v>
      </c>
      <c r="L42" s="21">
        <v>7</v>
      </c>
      <c r="M42" s="21">
        <v>1</v>
      </c>
      <c r="N42" s="21">
        <v>162</v>
      </c>
      <c r="O42" s="21">
        <v>9</v>
      </c>
      <c r="P42" s="21">
        <v>3</v>
      </c>
      <c r="Q42" s="21">
        <v>1</v>
      </c>
      <c r="R42" s="21">
        <v>0</v>
      </c>
      <c r="S42" s="21">
        <v>6</v>
      </c>
      <c r="T42" s="21">
        <v>0</v>
      </c>
      <c r="U42" s="21">
        <v>5</v>
      </c>
      <c r="V42" s="21">
        <v>2</v>
      </c>
      <c r="W42" s="21">
        <v>24</v>
      </c>
      <c r="X42" s="21">
        <v>0</v>
      </c>
      <c r="Y42" s="21">
        <v>0</v>
      </c>
      <c r="Z42" s="21">
        <v>2</v>
      </c>
      <c r="AA42" s="21">
        <v>162</v>
      </c>
      <c r="AB42" s="21">
        <v>0</v>
      </c>
      <c r="AC42" s="21">
        <v>0</v>
      </c>
      <c r="AD42" s="21">
        <v>3</v>
      </c>
      <c r="AE42" s="21">
        <v>17</v>
      </c>
      <c r="AF42" s="21">
        <v>0</v>
      </c>
      <c r="AG42" s="20">
        <f t="shared" si="1"/>
        <v>427</v>
      </c>
      <c r="AH42" s="21">
        <v>19</v>
      </c>
    </row>
    <row r="43" spans="1:34" s="22" customFormat="1" x14ac:dyDescent="0.3">
      <c r="A43" s="17" t="s">
        <v>15</v>
      </c>
      <c r="B43" s="18" t="s">
        <v>12</v>
      </c>
      <c r="C43" s="18" t="s">
        <v>57</v>
      </c>
      <c r="D43" s="19"/>
      <c r="E43" s="20">
        <v>543</v>
      </c>
      <c r="F43" s="20">
        <v>6</v>
      </c>
      <c r="G43" s="21">
        <v>149</v>
      </c>
      <c r="H43" s="21">
        <v>316</v>
      </c>
      <c r="I43" s="21">
        <v>384</v>
      </c>
      <c r="J43" s="21"/>
      <c r="K43" s="21">
        <v>8</v>
      </c>
      <c r="L43" s="21">
        <v>0</v>
      </c>
      <c r="M43" s="21">
        <v>1</v>
      </c>
      <c r="N43" s="21">
        <v>126</v>
      </c>
      <c r="O43" s="21">
        <v>44</v>
      </c>
      <c r="P43" s="21">
        <v>2</v>
      </c>
      <c r="Q43" s="21">
        <v>1</v>
      </c>
      <c r="R43" s="21">
        <v>0</v>
      </c>
      <c r="S43" s="21">
        <v>1</v>
      </c>
      <c r="T43" s="21">
        <v>1</v>
      </c>
      <c r="U43" s="21">
        <v>0</v>
      </c>
      <c r="V43" s="21">
        <v>1</v>
      </c>
      <c r="W43" s="21">
        <v>13</v>
      </c>
      <c r="X43" s="21">
        <v>0</v>
      </c>
      <c r="Y43" s="21">
        <v>0</v>
      </c>
      <c r="Z43" s="21">
        <v>2</v>
      </c>
      <c r="AA43" s="21">
        <v>153</v>
      </c>
      <c r="AB43" s="21">
        <v>2</v>
      </c>
      <c r="AC43" s="21">
        <v>1</v>
      </c>
      <c r="AD43" s="21">
        <v>2</v>
      </c>
      <c r="AE43" s="21">
        <v>17</v>
      </c>
      <c r="AF43" s="21">
        <v>0</v>
      </c>
      <c r="AG43" s="20">
        <f t="shared" si="1"/>
        <v>375</v>
      </c>
      <c r="AH43" s="21">
        <v>9</v>
      </c>
    </row>
    <row r="44" spans="1:34" x14ac:dyDescent="0.3">
      <c r="A44" s="14" t="s">
        <v>15</v>
      </c>
      <c r="B44" s="15" t="s">
        <v>12</v>
      </c>
      <c r="C44" s="15" t="s">
        <v>79</v>
      </c>
      <c r="D44" s="3"/>
      <c r="E44" s="8">
        <v>0</v>
      </c>
      <c r="F44" s="8">
        <v>62</v>
      </c>
      <c r="G44" s="4">
        <v>25</v>
      </c>
      <c r="H44" s="4">
        <v>36</v>
      </c>
      <c r="I44" s="4">
        <v>36</v>
      </c>
      <c r="J44" s="4"/>
      <c r="K44" s="4">
        <v>4</v>
      </c>
      <c r="L44" s="4">
        <v>0</v>
      </c>
      <c r="M44" s="4">
        <v>0</v>
      </c>
      <c r="N44" s="4">
        <v>7</v>
      </c>
      <c r="O44" s="4">
        <v>3</v>
      </c>
      <c r="P44" s="4">
        <v>0</v>
      </c>
      <c r="Q44" s="4">
        <v>1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1</v>
      </c>
      <c r="X44" s="4">
        <v>0</v>
      </c>
      <c r="Y44" s="4">
        <v>0</v>
      </c>
      <c r="Z44" s="4">
        <v>0</v>
      </c>
      <c r="AA44" s="4">
        <v>16</v>
      </c>
      <c r="AB44" s="4">
        <v>0</v>
      </c>
      <c r="AC44" s="4">
        <v>0</v>
      </c>
      <c r="AD44" s="4">
        <v>0</v>
      </c>
      <c r="AE44" s="4">
        <v>3</v>
      </c>
      <c r="AF44" s="4">
        <v>0</v>
      </c>
      <c r="AG44" s="8">
        <f t="shared" si="1"/>
        <v>35</v>
      </c>
      <c r="AH44" s="4">
        <v>1</v>
      </c>
    </row>
    <row r="45" spans="1:34" s="13" customFormat="1" x14ac:dyDescent="0.3">
      <c r="B45" s="12" t="s">
        <v>7</v>
      </c>
      <c r="C45" s="12">
        <f>COUNTA(C2:C44)</f>
        <v>43</v>
      </c>
      <c r="D45" s="12"/>
      <c r="E45" s="9">
        <f t="shared" ref="E45:AH45" si="2">SUM(E2:E44)</f>
        <v>41691</v>
      </c>
      <c r="F45" s="9">
        <f t="shared" si="2"/>
        <v>409</v>
      </c>
      <c r="G45" s="9">
        <f t="shared" si="2"/>
        <v>8548</v>
      </c>
      <c r="H45" s="9">
        <f t="shared" si="2"/>
        <v>20541</v>
      </c>
      <c r="I45" s="9">
        <f t="shared" si="2"/>
        <v>25536</v>
      </c>
      <c r="J45" s="9"/>
      <c r="K45" s="9">
        <f t="shared" si="2"/>
        <v>667</v>
      </c>
      <c r="L45" s="9">
        <f t="shared" si="2"/>
        <v>245</v>
      </c>
      <c r="M45" s="9">
        <f t="shared" si="2"/>
        <v>50</v>
      </c>
      <c r="N45" s="9">
        <f t="shared" si="2"/>
        <v>8417</v>
      </c>
      <c r="O45" s="9">
        <f t="shared" si="2"/>
        <v>1317</v>
      </c>
      <c r="P45" s="9">
        <f t="shared" si="2"/>
        <v>173</v>
      </c>
      <c r="Q45" s="9">
        <f t="shared" si="2"/>
        <v>52</v>
      </c>
      <c r="R45" s="9">
        <f t="shared" si="2"/>
        <v>31</v>
      </c>
      <c r="S45" s="9">
        <f t="shared" si="2"/>
        <v>320</v>
      </c>
      <c r="T45" s="9">
        <f t="shared" si="2"/>
        <v>78</v>
      </c>
      <c r="U45" s="9">
        <f t="shared" si="2"/>
        <v>93</v>
      </c>
      <c r="V45" s="9">
        <f t="shared" si="2"/>
        <v>20</v>
      </c>
      <c r="W45" s="9">
        <f t="shared" si="2"/>
        <v>793</v>
      </c>
      <c r="X45" s="9">
        <f t="shared" si="2"/>
        <v>21</v>
      </c>
      <c r="Y45" s="9">
        <f t="shared" si="2"/>
        <v>34</v>
      </c>
      <c r="Z45" s="9">
        <f t="shared" si="2"/>
        <v>226</v>
      </c>
      <c r="AA45" s="9">
        <f t="shared" si="2"/>
        <v>10969</v>
      </c>
      <c r="AB45" s="9">
        <f t="shared" si="2"/>
        <v>110</v>
      </c>
      <c r="AC45" s="9">
        <f t="shared" si="2"/>
        <v>25</v>
      </c>
      <c r="AD45" s="9">
        <f t="shared" si="2"/>
        <v>61</v>
      </c>
      <c r="AE45" s="9">
        <f t="shared" si="2"/>
        <v>832</v>
      </c>
      <c r="AF45" s="9">
        <f t="shared" si="2"/>
        <v>42</v>
      </c>
      <c r="AG45" s="9">
        <f t="shared" si="2"/>
        <v>24576</v>
      </c>
      <c r="AH45" s="9">
        <f t="shared" si="2"/>
        <v>861</v>
      </c>
    </row>
    <row r="46" spans="1:34" x14ac:dyDescent="0.3">
      <c r="B46" s="7" t="s">
        <v>9</v>
      </c>
      <c r="K46" s="16">
        <f t="shared" ref="K46:AF46" si="3">K45/$AG$45</f>
        <v>2.7140299479166668E-2</v>
      </c>
      <c r="L46" s="16">
        <f t="shared" si="3"/>
        <v>9.9690755208333339E-3</v>
      </c>
      <c r="M46" s="16">
        <f t="shared" si="3"/>
        <v>2.0345052083333335E-3</v>
      </c>
      <c r="N46" s="16">
        <f t="shared" si="3"/>
        <v>0.34248860677083331</v>
      </c>
      <c r="O46" s="16">
        <f t="shared" si="3"/>
        <v>5.35888671875E-2</v>
      </c>
      <c r="P46" s="16">
        <f t="shared" si="3"/>
        <v>7.039388020833333E-3</v>
      </c>
      <c r="Q46" s="16">
        <f t="shared" si="3"/>
        <v>2.1158854166666665E-3</v>
      </c>
      <c r="R46" s="16">
        <f t="shared" si="3"/>
        <v>1.2613932291666667E-3</v>
      </c>
      <c r="S46" s="16">
        <f t="shared" si="3"/>
        <v>1.3020833333333334E-2</v>
      </c>
      <c r="T46" s="16">
        <f t="shared" si="3"/>
        <v>3.173828125E-3</v>
      </c>
      <c r="U46" s="16">
        <f t="shared" si="3"/>
        <v>3.7841796875E-3</v>
      </c>
      <c r="V46" s="16">
        <f t="shared" si="3"/>
        <v>8.1380208333333337E-4</v>
      </c>
      <c r="W46" s="16">
        <f t="shared" si="3"/>
        <v>3.2267252604166664E-2</v>
      </c>
      <c r="X46" s="16">
        <f t="shared" si="3"/>
        <v>8.544921875E-4</v>
      </c>
      <c r="Y46" s="16">
        <f t="shared" si="3"/>
        <v>1.3834635416666667E-3</v>
      </c>
      <c r="Z46" s="16">
        <f t="shared" si="3"/>
        <v>9.1959635416666661E-3</v>
      </c>
      <c r="AA46" s="16">
        <f t="shared" si="3"/>
        <v>0.44632975260416669</v>
      </c>
      <c r="AB46" s="16">
        <f t="shared" si="3"/>
        <v>4.475911458333333E-3</v>
      </c>
      <c r="AC46" s="16">
        <f t="shared" si="3"/>
        <v>1.0172526041666667E-3</v>
      </c>
      <c r="AD46" s="16">
        <f t="shared" si="3"/>
        <v>2.4820963541666665E-3</v>
      </c>
      <c r="AE46" s="16">
        <f t="shared" si="3"/>
        <v>3.3854166666666664E-2</v>
      </c>
      <c r="AF46" s="16">
        <f t="shared" si="3"/>
        <v>1.708984375E-3</v>
      </c>
      <c r="AG46" s="11">
        <f>SUM(K46:AF46)</f>
        <v>0.99999999999999978</v>
      </c>
    </row>
  </sheetData>
  <conditionalFormatting sqref="H2:I43">
    <cfRule type="expression" dxfId="4" priority="19">
      <formula>H2&lt;G2</formula>
    </cfRule>
  </conditionalFormatting>
  <conditionalFormatting sqref="H44:I44">
    <cfRule type="expression" dxfId="3" priority="6">
      <formula>H44&lt;G44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"/>
  <sheetViews>
    <sheetView tabSelected="1" zoomScaleNormal="100" workbookViewId="0">
      <selection activeCell="K2" sqref="K2"/>
    </sheetView>
  </sheetViews>
  <sheetFormatPr defaultColWidth="9.109375" defaultRowHeight="14.4" x14ac:dyDescent="0.3"/>
  <cols>
    <col min="1" max="1" width="9.109375" style="1"/>
    <col min="2" max="2" width="22.88671875" style="7" bestFit="1" customWidth="1"/>
    <col min="3" max="3" width="10.6640625" style="7" customWidth="1"/>
    <col min="4" max="4" width="11" style="7" customWidth="1"/>
    <col min="5" max="5" width="14.6640625" style="10" customWidth="1"/>
    <col min="6" max="6" width="15" style="1" customWidth="1"/>
    <col min="7" max="7" width="9.77734375" style="1" customWidth="1"/>
    <col min="8" max="8" width="9.88671875" style="1" customWidth="1"/>
    <col min="9" max="9" width="10.21875" style="1" bestFit="1" customWidth="1"/>
    <col min="10" max="10" width="13.77734375" style="1" customWidth="1"/>
    <col min="11" max="24" width="12.88671875" style="1" customWidth="1"/>
    <col min="25" max="25" width="13.6640625" style="10" customWidth="1"/>
    <col min="26" max="26" width="13.6640625" style="1" customWidth="1"/>
    <col min="27" max="16384" width="9.109375" style="1"/>
  </cols>
  <sheetData>
    <row r="1" spans="1:26" s="29" customFormat="1" ht="30" customHeight="1" x14ac:dyDescent="0.3">
      <c r="A1" s="31" t="s">
        <v>14</v>
      </c>
      <c r="B1" s="31" t="s">
        <v>11</v>
      </c>
      <c r="C1" s="31" t="s">
        <v>0</v>
      </c>
      <c r="D1" s="31" t="s">
        <v>13</v>
      </c>
      <c r="E1" s="33" t="s">
        <v>1</v>
      </c>
      <c r="F1" s="31" t="s">
        <v>2</v>
      </c>
      <c r="G1" s="31" t="s">
        <v>3</v>
      </c>
      <c r="H1" s="31" t="s">
        <v>4</v>
      </c>
      <c r="I1" s="31" t="s">
        <v>5</v>
      </c>
      <c r="J1" s="31" t="s">
        <v>10</v>
      </c>
      <c r="K1" s="30" t="s">
        <v>94</v>
      </c>
      <c r="L1" s="30" t="s">
        <v>81</v>
      </c>
      <c r="M1" s="30" t="s">
        <v>82</v>
      </c>
      <c r="N1" s="30" t="s">
        <v>83</v>
      </c>
      <c r="O1" s="30" t="s">
        <v>84</v>
      </c>
      <c r="P1" s="30" t="s">
        <v>85</v>
      </c>
      <c r="Q1" s="30" t="s">
        <v>86</v>
      </c>
      <c r="R1" s="30" t="s">
        <v>87</v>
      </c>
      <c r="S1" s="30" t="s">
        <v>88</v>
      </c>
      <c r="T1" s="30" t="s">
        <v>89</v>
      </c>
      <c r="U1" s="30" t="s">
        <v>90</v>
      </c>
      <c r="V1" s="30" t="s">
        <v>91</v>
      </c>
      <c r="W1" s="30" t="s">
        <v>92</v>
      </c>
      <c r="X1" s="30" t="s">
        <v>93</v>
      </c>
      <c r="Y1" s="32" t="s">
        <v>8</v>
      </c>
      <c r="Z1" s="31" t="s">
        <v>6</v>
      </c>
    </row>
    <row r="2" spans="1:26" s="22" customFormat="1" x14ac:dyDescent="0.3">
      <c r="A2" s="17" t="s">
        <v>15</v>
      </c>
      <c r="B2" s="18" t="s">
        <v>12</v>
      </c>
      <c r="C2" s="18" t="s">
        <v>16</v>
      </c>
      <c r="D2" s="19"/>
      <c r="E2" s="20">
        <v>1268</v>
      </c>
      <c r="F2" s="20">
        <v>11</v>
      </c>
      <c r="G2" s="21">
        <v>218</v>
      </c>
      <c r="H2" s="21">
        <v>597</v>
      </c>
      <c r="I2" s="21">
        <v>779</v>
      </c>
      <c r="J2" s="21"/>
      <c r="K2" s="21">
        <v>24</v>
      </c>
      <c r="L2" s="21">
        <v>5</v>
      </c>
      <c r="M2" s="21">
        <v>225</v>
      </c>
      <c r="N2" s="21">
        <v>32</v>
      </c>
      <c r="O2" s="21">
        <v>5</v>
      </c>
      <c r="P2" s="21">
        <v>0</v>
      </c>
      <c r="Q2" s="21">
        <v>2</v>
      </c>
      <c r="R2" s="21">
        <v>18</v>
      </c>
      <c r="S2" s="21">
        <v>3</v>
      </c>
      <c r="T2" s="21">
        <v>17</v>
      </c>
      <c r="U2" s="21">
        <v>381</v>
      </c>
      <c r="V2" s="21">
        <v>4</v>
      </c>
      <c r="W2" s="21">
        <v>27</v>
      </c>
      <c r="X2" s="21">
        <v>2</v>
      </c>
      <c r="Y2" s="20">
        <f t="shared" ref="Y2:Y44" si="0">SUM(K2:X2)</f>
        <v>745</v>
      </c>
      <c r="Z2" s="21">
        <v>27</v>
      </c>
    </row>
    <row r="3" spans="1:26" s="22" customFormat="1" x14ac:dyDescent="0.3">
      <c r="A3" s="17" t="s">
        <v>15</v>
      </c>
      <c r="B3" s="18" t="s">
        <v>12</v>
      </c>
      <c r="C3" s="18" t="s">
        <v>17</v>
      </c>
      <c r="D3" s="19"/>
      <c r="E3" s="20">
        <v>1145</v>
      </c>
      <c r="F3" s="20">
        <v>11</v>
      </c>
      <c r="G3" s="21">
        <v>217</v>
      </c>
      <c r="H3" s="21">
        <v>565</v>
      </c>
      <c r="I3" s="21">
        <v>743</v>
      </c>
      <c r="J3" s="21"/>
      <c r="K3" s="21">
        <v>21</v>
      </c>
      <c r="L3" s="21">
        <v>5</v>
      </c>
      <c r="M3" s="21">
        <v>315</v>
      </c>
      <c r="N3" s="21">
        <v>25</v>
      </c>
      <c r="O3" s="21">
        <v>5</v>
      </c>
      <c r="P3" s="21">
        <v>1</v>
      </c>
      <c r="Q3" s="21">
        <v>4</v>
      </c>
      <c r="R3" s="21">
        <v>19</v>
      </c>
      <c r="S3" s="21">
        <v>1</v>
      </c>
      <c r="T3" s="21">
        <v>12</v>
      </c>
      <c r="U3" s="21">
        <v>292</v>
      </c>
      <c r="V3" s="21">
        <v>4</v>
      </c>
      <c r="W3" s="21">
        <v>11</v>
      </c>
      <c r="X3" s="21">
        <v>1</v>
      </c>
      <c r="Y3" s="20">
        <f t="shared" si="0"/>
        <v>716</v>
      </c>
      <c r="Z3" s="21">
        <v>25</v>
      </c>
    </row>
    <row r="4" spans="1:26" s="22" customFormat="1" x14ac:dyDescent="0.3">
      <c r="A4" s="17" t="s">
        <v>15</v>
      </c>
      <c r="B4" s="18" t="s">
        <v>12</v>
      </c>
      <c r="C4" s="18" t="s">
        <v>18</v>
      </c>
      <c r="D4" s="19"/>
      <c r="E4" s="20">
        <v>1384</v>
      </c>
      <c r="F4" s="20">
        <v>7</v>
      </c>
      <c r="G4" s="21">
        <v>275</v>
      </c>
      <c r="H4" s="21">
        <v>625</v>
      </c>
      <c r="I4" s="21">
        <v>818</v>
      </c>
      <c r="J4" s="21"/>
      <c r="K4" s="21">
        <v>17</v>
      </c>
      <c r="L4" s="21">
        <v>1</v>
      </c>
      <c r="M4" s="21">
        <v>193</v>
      </c>
      <c r="N4" s="21">
        <v>36</v>
      </c>
      <c r="O4" s="21">
        <v>2</v>
      </c>
      <c r="P4" s="21">
        <v>3</v>
      </c>
      <c r="Q4" s="21">
        <v>4</v>
      </c>
      <c r="R4" s="21">
        <v>58</v>
      </c>
      <c r="S4" s="21">
        <v>1</v>
      </c>
      <c r="T4" s="21">
        <v>16</v>
      </c>
      <c r="U4" s="21">
        <v>421</v>
      </c>
      <c r="V4" s="21">
        <v>5</v>
      </c>
      <c r="W4" s="21">
        <v>22</v>
      </c>
      <c r="X4" s="21">
        <v>2</v>
      </c>
      <c r="Y4" s="20">
        <f t="shared" si="0"/>
        <v>781</v>
      </c>
      <c r="Z4" s="21">
        <v>29</v>
      </c>
    </row>
    <row r="5" spans="1:26" s="22" customFormat="1" x14ac:dyDescent="0.3">
      <c r="A5" s="17" t="s">
        <v>15</v>
      </c>
      <c r="B5" s="18" t="s">
        <v>12</v>
      </c>
      <c r="C5" s="18" t="s">
        <v>19</v>
      </c>
      <c r="D5" s="19"/>
      <c r="E5" s="20">
        <v>536</v>
      </c>
      <c r="F5" s="20">
        <v>11</v>
      </c>
      <c r="G5" s="21">
        <v>110</v>
      </c>
      <c r="H5" s="21">
        <v>262</v>
      </c>
      <c r="I5" s="21">
        <v>299</v>
      </c>
      <c r="J5" s="21"/>
      <c r="K5" s="21">
        <v>0</v>
      </c>
      <c r="L5" s="21">
        <v>0</v>
      </c>
      <c r="M5" s="21">
        <v>65</v>
      </c>
      <c r="N5" s="21">
        <v>16</v>
      </c>
      <c r="O5" s="21">
        <v>3</v>
      </c>
      <c r="P5" s="21">
        <v>1</v>
      </c>
      <c r="Q5" s="21">
        <v>1</v>
      </c>
      <c r="R5" s="21">
        <v>5</v>
      </c>
      <c r="S5" s="21">
        <v>0</v>
      </c>
      <c r="T5" s="21">
        <v>10</v>
      </c>
      <c r="U5" s="21">
        <v>170</v>
      </c>
      <c r="V5" s="21">
        <v>0</v>
      </c>
      <c r="W5" s="21">
        <v>7</v>
      </c>
      <c r="X5" s="21">
        <v>1</v>
      </c>
      <c r="Y5" s="20">
        <f t="shared" si="0"/>
        <v>279</v>
      </c>
      <c r="Z5" s="21">
        <v>13</v>
      </c>
    </row>
    <row r="6" spans="1:26" s="22" customFormat="1" x14ac:dyDescent="0.3">
      <c r="A6" s="17" t="s">
        <v>15</v>
      </c>
      <c r="B6" s="18" t="s">
        <v>12</v>
      </c>
      <c r="C6" s="18" t="s">
        <v>20</v>
      </c>
      <c r="D6" s="19"/>
      <c r="E6" s="20">
        <v>1245</v>
      </c>
      <c r="F6" s="20">
        <v>6</v>
      </c>
      <c r="G6" s="21">
        <v>261</v>
      </c>
      <c r="H6" s="21">
        <v>610</v>
      </c>
      <c r="I6" s="21">
        <v>764</v>
      </c>
      <c r="J6" s="21"/>
      <c r="K6" s="21">
        <v>35</v>
      </c>
      <c r="L6" s="21">
        <v>6</v>
      </c>
      <c r="M6" s="21">
        <v>205</v>
      </c>
      <c r="N6" s="21">
        <v>48</v>
      </c>
      <c r="O6" s="21">
        <v>6</v>
      </c>
      <c r="P6" s="21">
        <v>2</v>
      </c>
      <c r="Q6" s="21">
        <v>2</v>
      </c>
      <c r="R6" s="21">
        <v>2</v>
      </c>
      <c r="S6" s="21">
        <v>4</v>
      </c>
      <c r="T6" s="21">
        <v>24</v>
      </c>
      <c r="U6" s="21">
        <v>379</v>
      </c>
      <c r="V6" s="21">
        <v>3</v>
      </c>
      <c r="W6" s="21">
        <v>9</v>
      </c>
      <c r="X6" s="21">
        <v>4</v>
      </c>
      <c r="Y6" s="20">
        <f t="shared" si="0"/>
        <v>729</v>
      </c>
      <c r="Z6" s="21">
        <v>35</v>
      </c>
    </row>
    <row r="7" spans="1:26" s="22" customFormat="1" x14ac:dyDescent="0.3">
      <c r="A7" s="17" t="s">
        <v>15</v>
      </c>
      <c r="B7" s="18" t="s">
        <v>12</v>
      </c>
      <c r="C7" s="18" t="s">
        <v>21</v>
      </c>
      <c r="D7" s="19"/>
      <c r="E7" s="20">
        <v>996</v>
      </c>
      <c r="F7" s="20">
        <v>6</v>
      </c>
      <c r="G7" s="21">
        <v>210</v>
      </c>
      <c r="H7" s="21">
        <v>516</v>
      </c>
      <c r="I7" s="21">
        <v>624</v>
      </c>
      <c r="J7" s="21"/>
      <c r="K7" s="21">
        <v>52</v>
      </c>
      <c r="L7" s="21">
        <v>6</v>
      </c>
      <c r="M7" s="21">
        <v>206</v>
      </c>
      <c r="N7" s="21">
        <v>45</v>
      </c>
      <c r="O7" s="21">
        <v>5</v>
      </c>
      <c r="P7" s="21">
        <v>2</v>
      </c>
      <c r="Q7" s="21">
        <v>0</v>
      </c>
      <c r="R7" s="21">
        <v>4</v>
      </c>
      <c r="S7" s="21">
        <v>2</v>
      </c>
      <c r="T7" s="21">
        <v>12</v>
      </c>
      <c r="U7" s="21">
        <v>222</v>
      </c>
      <c r="V7" s="21">
        <v>1</v>
      </c>
      <c r="W7" s="21">
        <v>20</v>
      </c>
      <c r="X7" s="21">
        <v>11</v>
      </c>
      <c r="Y7" s="20">
        <f t="shared" si="0"/>
        <v>588</v>
      </c>
      <c r="Z7" s="21">
        <v>36</v>
      </c>
    </row>
    <row r="8" spans="1:26" s="22" customFormat="1" x14ac:dyDescent="0.3">
      <c r="A8" s="17" t="s">
        <v>15</v>
      </c>
      <c r="B8" s="18" t="s">
        <v>12</v>
      </c>
      <c r="C8" s="18" t="s">
        <v>22</v>
      </c>
      <c r="D8" s="19"/>
      <c r="E8" s="20">
        <v>801</v>
      </c>
      <c r="F8" s="20">
        <v>4</v>
      </c>
      <c r="G8" s="21">
        <v>174</v>
      </c>
      <c r="H8" s="21">
        <v>372</v>
      </c>
      <c r="I8" s="21">
        <v>468</v>
      </c>
      <c r="J8" s="21"/>
      <c r="K8" s="21">
        <v>33</v>
      </c>
      <c r="L8" s="21">
        <v>0</v>
      </c>
      <c r="M8" s="21">
        <v>156</v>
      </c>
      <c r="N8" s="21">
        <v>16</v>
      </c>
      <c r="O8" s="21">
        <v>3</v>
      </c>
      <c r="P8" s="21">
        <v>1</v>
      </c>
      <c r="Q8" s="21">
        <v>1</v>
      </c>
      <c r="R8" s="21">
        <v>1</v>
      </c>
      <c r="S8" s="21">
        <v>20</v>
      </c>
      <c r="T8" s="21">
        <v>4</v>
      </c>
      <c r="U8" s="21">
        <v>197</v>
      </c>
      <c r="V8" s="21">
        <v>1</v>
      </c>
      <c r="W8" s="21">
        <v>13</v>
      </c>
      <c r="X8" s="21">
        <v>5</v>
      </c>
      <c r="Y8" s="20">
        <f t="shared" si="0"/>
        <v>451</v>
      </c>
      <c r="Z8" s="21">
        <v>17</v>
      </c>
    </row>
    <row r="9" spans="1:26" s="22" customFormat="1" x14ac:dyDescent="0.3">
      <c r="A9" s="17" t="s">
        <v>15</v>
      </c>
      <c r="B9" s="18" t="s">
        <v>12</v>
      </c>
      <c r="C9" s="18" t="s">
        <v>23</v>
      </c>
      <c r="D9" s="19"/>
      <c r="E9" s="20">
        <v>1338</v>
      </c>
      <c r="F9" s="20">
        <v>9</v>
      </c>
      <c r="G9" s="21">
        <v>236</v>
      </c>
      <c r="H9" s="21">
        <v>594</v>
      </c>
      <c r="I9" s="21">
        <v>791</v>
      </c>
      <c r="J9" s="21"/>
      <c r="K9" s="21">
        <v>25</v>
      </c>
      <c r="L9" s="21">
        <v>0</v>
      </c>
      <c r="M9" s="21">
        <v>213</v>
      </c>
      <c r="N9" s="21">
        <v>27</v>
      </c>
      <c r="O9" s="21">
        <v>9</v>
      </c>
      <c r="P9" s="21">
        <v>0</v>
      </c>
      <c r="Q9" s="21">
        <v>6</v>
      </c>
      <c r="R9" s="21">
        <v>24</v>
      </c>
      <c r="S9" s="21">
        <v>6</v>
      </c>
      <c r="T9" s="21">
        <v>24</v>
      </c>
      <c r="U9" s="21">
        <v>363</v>
      </c>
      <c r="V9" s="21">
        <v>6</v>
      </c>
      <c r="W9" s="21">
        <v>15</v>
      </c>
      <c r="X9" s="21">
        <v>5</v>
      </c>
      <c r="Y9" s="20">
        <f t="shared" si="0"/>
        <v>723</v>
      </c>
      <c r="Z9" s="21">
        <v>68</v>
      </c>
    </row>
    <row r="10" spans="1:26" s="22" customFormat="1" x14ac:dyDescent="0.3">
      <c r="A10" s="17" t="s">
        <v>15</v>
      </c>
      <c r="B10" s="18" t="s">
        <v>12</v>
      </c>
      <c r="C10" s="18" t="s">
        <v>24</v>
      </c>
      <c r="D10" s="19"/>
      <c r="E10" s="20">
        <v>1220</v>
      </c>
      <c r="F10" s="20">
        <v>6</v>
      </c>
      <c r="G10" s="21">
        <v>205</v>
      </c>
      <c r="H10" s="21">
        <v>575</v>
      </c>
      <c r="I10" s="21">
        <v>701</v>
      </c>
      <c r="J10" s="21"/>
      <c r="K10" s="21">
        <v>23</v>
      </c>
      <c r="L10" s="21">
        <v>2</v>
      </c>
      <c r="M10" s="21">
        <v>210</v>
      </c>
      <c r="N10" s="21">
        <v>21</v>
      </c>
      <c r="O10" s="21">
        <v>7</v>
      </c>
      <c r="P10" s="21">
        <v>2</v>
      </c>
      <c r="Q10" s="21">
        <v>1</v>
      </c>
      <c r="R10" s="21">
        <v>25</v>
      </c>
      <c r="S10" s="21">
        <v>3</v>
      </c>
      <c r="T10" s="21">
        <v>14</v>
      </c>
      <c r="U10" s="21">
        <v>329</v>
      </c>
      <c r="V10" s="21">
        <v>2</v>
      </c>
      <c r="W10" s="21">
        <v>16</v>
      </c>
      <c r="X10" s="21">
        <v>4</v>
      </c>
      <c r="Y10" s="20">
        <f t="shared" si="0"/>
        <v>659</v>
      </c>
      <c r="Z10" s="21">
        <v>35</v>
      </c>
    </row>
    <row r="11" spans="1:26" s="22" customFormat="1" x14ac:dyDescent="0.3">
      <c r="A11" s="17" t="s">
        <v>15</v>
      </c>
      <c r="B11" s="18" t="s">
        <v>12</v>
      </c>
      <c r="C11" s="18" t="s">
        <v>25</v>
      </c>
      <c r="D11" s="19"/>
      <c r="E11" s="20">
        <v>1313</v>
      </c>
      <c r="F11" s="20">
        <v>6</v>
      </c>
      <c r="G11" s="21">
        <v>261</v>
      </c>
      <c r="H11" s="21">
        <v>592</v>
      </c>
      <c r="I11" s="21">
        <v>746</v>
      </c>
      <c r="J11" s="21"/>
      <c r="K11" s="21">
        <v>6</v>
      </c>
      <c r="L11" s="21">
        <v>1</v>
      </c>
      <c r="M11" s="21">
        <v>239</v>
      </c>
      <c r="N11" s="21">
        <v>24</v>
      </c>
      <c r="O11" s="21">
        <v>6</v>
      </c>
      <c r="P11" s="21">
        <v>3</v>
      </c>
      <c r="Q11" s="21">
        <v>0</v>
      </c>
      <c r="R11" s="21">
        <v>26</v>
      </c>
      <c r="S11" s="21">
        <v>2</v>
      </c>
      <c r="T11" s="21">
        <v>20</v>
      </c>
      <c r="U11" s="21">
        <v>331</v>
      </c>
      <c r="V11" s="21">
        <v>4</v>
      </c>
      <c r="W11" s="21">
        <v>39</v>
      </c>
      <c r="X11" s="21">
        <v>2</v>
      </c>
      <c r="Y11" s="20">
        <f t="shared" si="0"/>
        <v>703</v>
      </c>
      <c r="Z11" s="21">
        <v>40</v>
      </c>
    </row>
    <row r="12" spans="1:26" s="22" customFormat="1" x14ac:dyDescent="0.3">
      <c r="A12" s="17" t="s">
        <v>15</v>
      </c>
      <c r="B12" s="18" t="s">
        <v>12</v>
      </c>
      <c r="C12" s="18" t="s">
        <v>26</v>
      </c>
      <c r="D12" s="19"/>
      <c r="E12" s="20">
        <v>1395</v>
      </c>
      <c r="F12" s="20">
        <v>2</v>
      </c>
      <c r="G12" s="21">
        <v>276</v>
      </c>
      <c r="H12" s="21">
        <v>662</v>
      </c>
      <c r="I12" s="21">
        <v>816</v>
      </c>
      <c r="J12" s="21"/>
      <c r="K12" s="21">
        <v>30</v>
      </c>
      <c r="L12" s="21">
        <v>8</v>
      </c>
      <c r="M12" s="21">
        <v>381</v>
      </c>
      <c r="N12" s="21">
        <v>32</v>
      </c>
      <c r="O12" s="21">
        <v>8</v>
      </c>
      <c r="P12" s="21">
        <v>2</v>
      </c>
      <c r="Q12" s="21">
        <v>1</v>
      </c>
      <c r="R12" s="21">
        <v>6</v>
      </c>
      <c r="S12" s="21">
        <v>0</v>
      </c>
      <c r="T12" s="21">
        <v>29</v>
      </c>
      <c r="U12" s="21">
        <v>255</v>
      </c>
      <c r="V12" s="21">
        <v>4</v>
      </c>
      <c r="W12" s="21">
        <v>11</v>
      </c>
      <c r="X12" s="21">
        <v>4</v>
      </c>
      <c r="Y12" s="20">
        <f t="shared" si="0"/>
        <v>771</v>
      </c>
      <c r="Z12" s="21">
        <v>42</v>
      </c>
    </row>
    <row r="13" spans="1:26" s="22" customFormat="1" x14ac:dyDescent="0.3">
      <c r="A13" s="17" t="s">
        <v>15</v>
      </c>
      <c r="B13" s="18" t="s">
        <v>12</v>
      </c>
      <c r="C13" s="18" t="s">
        <v>27</v>
      </c>
      <c r="D13" s="19"/>
      <c r="E13" s="20">
        <v>1190</v>
      </c>
      <c r="F13" s="20">
        <v>3</v>
      </c>
      <c r="G13" s="21">
        <v>255</v>
      </c>
      <c r="H13" s="21">
        <v>605</v>
      </c>
      <c r="I13" s="21">
        <v>712</v>
      </c>
      <c r="J13" s="21"/>
      <c r="K13" s="21">
        <v>49</v>
      </c>
      <c r="L13" s="21">
        <v>9</v>
      </c>
      <c r="M13" s="21">
        <v>246</v>
      </c>
      <c r="N13" s="21">
        <v>26</v>
      </c>
      <c r="O13" s="21">
        <v>6</v>
      </c>
      <c r="P13" s="21">
        <v>2</v>
      </c>
      <c r="Q13" s="21">
        <v>0</v>
      </c>
      <c r="R13" s="21">
        <v>17</v>
      </c>
      <c r="S13" s="21">
        <v>0</v>
      </c>
      <c r="T13" s="21">
        <v>24</v>
      </c>
      <c r="U13" s="21">
        <v>270</v>
      </c>
      <c r="V13" s="21">
        <v>8</v>
      </c>
      <c r="W13" s="21">
        <v>20</v>
      </c>
      <c r="X13" s="21">
        <v>1</v>
      </c>
      <c r="Y13" s="20">
        <f t="shared" si="0"/>
        <v>678</v>
      </c>
      <c r="Z13" s="21">
        <v>34</v>
      </c>
    </row>
    <row r="14" spans="1:26" s="22" customFormat="1" x14ac:dyDescent="0.3">
      <c r="A14" s="17" t="s">
        <v>15</v>
      </c>
      <c r="B14" s="18" t="s">
        <v>12</v>
      </c>
      <c r="C14" s="18" t="s">
        <v>28</v>
      </c>
      <c r="D14" s="19"/>
      <c r="E14" s="20">
        <v>1327</v>
      </c>
      <c r="F14" s="20">
        <v>7</v>
      </c>
      <c r="G14" s="21">
        <v>272</v>
      </c>
      <c r="H14" s="21">
        <v>610</v>
      </c>
      <c r="I14" s="21">
        <v>733</v>
      </c>
      <c r="J14" s="21"/>
      <c r="K14" s="21">
        <v>18</v>
      </c>
      <c r="L14" s="21">
        <v>6</v>
      </c>
      <c r="M14" s="21">
        <v>260</v>
      </c>
      <c r="N14" s="21">
        <v>28</v>
      </c>
      <c r="O14" s="21">
        <v>5</v>
      </c>
      <c r="P14" s="21">
        <v>3</v>
      </c>
      <c r="Q14" s="21">
        <v>1</v>
      </c>
      <c r="R14" s="21">
        <v>14</v>
      </c>
      <c r="S14" s="21">
        <v>7</v>
      </c>
      <c r="T14" s="21">
        <v>20</v>
      </c>
      <c r="U14" s="21">
        <v>314</v>
      </c>
      <c r="V14" s="21">
        <v>5</v>
      </c>
      <c r="W14" s="21">
        <v>15</v>
      </c>
      <c r="X14" s="21">
        <v>1</v>
      </c>
      <c r="Y14" s="20">
        <f t="shared" si="0"/>
        <v>697</v>
      </c>
      <c r="Z14" s="21">
        <v>34</v>
      </c>
    </row>
    <row r="15" spans="1:26" s="22" customFormat="1" x14ac:dyDescent="0.3">
      <c r="A15" s="17" t="s">
        <v>15</v>
      </c>
      <c r="B15" s="18" t="s">
        <v>12</v>
      </c>
      <c r="C15" s="18" t="s">
        <v>29</v>
      </c>
      <c r="D15" s="19"/>
      <c r="E15" s="20">
        <v>1340</v>
      </c>
      <c r="F15" s="20">
        <v>10</v>
      </c>
      <c r="G15" s="21">
        <v>218</v>
      </c>
      <c r="H15" s="21">
        <v>595</v>
      </c>
      <c r="I15" s="21">
        <v>742</v>
      </c>
      <c r="J15" s="21"/>
      <c r="K15" s="21">
        <v>7</v>
      </c>
      <c r="L15" s="21">
        <v>3</v>
      </c>
      <c r="M15" s="21">
        <v>324</v>
      </c>
      <c r="N15" s="21">
        <v>26</v>
      </c>
      <c r="O15" s="21">
        <v>5</v>
      </c>
      <c r="P15" s="21">
        <v>0</v>
      </c>
      <c r="Q15" s="21">
        <v>1</v>
      </c>
      <c r="R15" s="21">
        <v>13</v>
      </c>
      <c r="S15" s="21">
        <v>2</v>
      </c>
      <c r="T15" s="21">
        <v>16</v>
      </c>
      <c r="U15" s="21">
        <v>267</v>
      </c>
      <c r="V15" s="21">
        <v>3</v>
      </c>
      <c r="W15" s="21">
        <v>31</v>
      </c>
      <c r="X15" s="21">
        <v>2</v>
      </c>
      <c r="Y15" s="20">
        <f t="shared" si="0"/>
        <v>700</v>
      </c>
      <c r="Z15" s="21">
        <v>39</v>
      </c>
    </row>
    <row r="16" spans="1:26" s="22" customFormat="1" x14ac:dyDescent="0.3">
      <c r="A16" s="17" t="s">
        <v>15</v>
      </c>
      <c r="B16" s="18" t="s">
        <v>12</v>
      </c>
      <c r="C16" s="18" t="s">
        <v>30</v>
      </c>
      <c r="D16" s="19"/>
      <c r="E16" s="20">
        <v>1284</v>
      </c>
      <c r="F16" s="20">
        <v>8</v>
      </c>
      <c r="G16" s="21">
        <v>260</v>
      </c>
      <c r="H16" s="21">
        <v>551</v>
      </c>
      <c r="I16" s="21">
        <v>662</v>
      </c>
      <c r="J16" s="21"/>
      <c r="K16" s="21">
        <v>13</v>
      </c>
      <c r="L16" s="21">
        <v>1</v>
      </c>
      <c r="M16" s="21">
        <v>260</v>
      </c>
      <c r="N16" s="21">
        <v>20</v>
      </c>
      <c r="O16" s="21">
        <v>3</v>
      </c>
      <c r="P16" s="21">
        <v>0</v>
      </c>
      <c r="Q16" s="21">
        <v>3</v>
      </c>
      <c r="R16" s="21">
        <v>22</v>
      </c>
      <c r="S16" s="21">
        <v>1</v>
      </c>
      <c r="T16" s="21">
        <v>17</v>
      </c>
      <c r="U16" s="21">
        <v>244</v>
      </c>
      <c r="V16" s="21">
        <v>2</v>
      </c>
      <c r="W16" s="21">
        <v>17</v>
      </c>
      <c r="X16" s="21">
        <v>2</v>
      </c>
      <c r="Y16" s="20">
        <f t="shared" si="0"/>
        <v>605</v>
      </c>
      <c r="Z16" s="21">
        <v>55</v>
      </c>
    </row>
    <row r="17" spans="1:26" s="22" customFormat="1" x14ac:dyDescent="0.3">
      <c r="A17" s="17" t="s">
        <v>15</v>
      </c>
      <c r="B17" s="18" t="s">
        <v>12</v>
      </c>
      <c r="C17" s="18" t="s">
        <v>31</v>
      </c>
      <c r="D17" s="19"/>
      <c r="E17" s="20">
        <v>1014</v>
      </c>
      <c r="F17" s="20">
        <v>12</v>
      </c>
      <c r="G17" s="21">
        <v>207</v>
      </c>
      <c r="H17" s="21">
        <v>458</v>
      </c>
      <c r="I17" s="21">
        <v>527</v>
      </c>
      <c r="J17" s="21"/>
      <c r="K17" s="21">
        <v>17</v>
      </c>
      <c r="L17" s="21">
        <v>0</v>
      </c>
      <c r="M17" s="21">
        <v>189</v>
      </c>
      <c r="N17" s="21">
        <v>25</v>
      </c>
      <c r="O17" s="21">
        <v>3</v>
      </c>
      <c r="P17" s="21">
        <v>3</v>
      </c>
      <c r="Q17" s="21">
        <v>1</v>
      </c>
      <c r="R17" s="21">
        <v>3</v>
      </c>
      <c r="S17" s="21">
        <v>0</v>
      </c>
      <c r="T17" s="21">
        <v>12</v>
      </c>
      <c r="U17" s="21">
        <v>202</v>
      </c>
      <c r="V17" s="21">
        <v>2</v>
      </c>
      <c r="W17" s="21">
        <v>30</v>
      </c>
      <c r="X17" s="21">
        <v>0</v>
      </c>
      <c r="Y17" s="20">
        <f t="shared" si="0"/>
        <v>487</v>
      </c>
      <c r="Z17" s="21">
        <v>40</v>
      </c>
    </row>
    <row r="18" spans="1:26" s="22" customFormat="1" x14ac:dyDescent="0.3">
      <c r="A18" s="17" t="s">
        <v>15</v>
      </c>
      <c r="B18" s="18" t="s">
        <v>12</v>
      </c>
      <c r="C18" s="18" t="s">
        <v>32</v>
      </c>
      <c r="D18" s="19"/>
      <c r="E18" s="20">
        <v>1203</v>
      </c>
      <c r="F18" s="20">
        <v>6</v>
      </c>
      <c r="G18" s="21">
        <v>250</v>
      </c>
      <c r="H18" s="21">
        <v>536</v>
      </c>
      <c r="I18" s="21">
        <v>658</v>
      </c>
      <c r="J18" s="21"/>
      <c r="K18" s="21">
        <v>19</v>
      </c>
      <c r="L18" s="21">
        <v>2</v>
      </c>
      <c r="M18" s="21">
        <v>215</v>
      </c>
      <c r="N18" s="21">
        <v>27</v>
      </c>
      <c r="O18" s="21">
        <v>2</v>
      </c>
      <c r="P18" s="21">
        <v>5</v>
      </c>
      <c r="Q18" s="21">
        <v>1</v>
      </c>
      <c r="R18" s="21">
        <v>16</v>
      </c>
      <c r="S18" s="21">
        <v>5</v>
      </c>
      <c r="T18" s="21">
        <v>12</v>
      </c>
      <c r="U18" s="21">
        <v>295</v>
      </c>
      <c r="V18" s="21">
        <v>4</v>
      </c>
      <c r="W18" s="21">
        <v>17</v>
      </c>
      <c r="X18" s="21">
        <v>2</v>
      </c>
      <c r="Y18" s="20">
        <f t="shared" si="0"/>
        <v>622</v>
      </c>
      <c r="Z18" s="21">
        <v>36</v>
      </c>
    </row>
    <row r="19" spans="1:26" s="22" customFormat="1" x14ac:dyDescent="0.3">
      <c r="A19" s="17" t="s">
        <v>15</v>
      </c>
      <c r="B19" s="18" t="s">
        <v>12</v>
      </c>
      <c r="C19" s="18" t="s">
        <v>33</v>
      </c>
      <c r="D19" s="19"/>
      <c r="E19" s="20">
        <v>1131</v>
      </c>
      <c r="F19" s="20">
        <v>9</v>
      </c>
      <c r="G19" s="21">
        <v>217</v>
      </c>
      <c r="H19" s="21">
        <v>485</v>
      </c>
      <c r="I19" s="21">
        <v>637</v>
      </c>
      <c r="J19" s="21"/>
      <c r="K19" s="21">
        <v>20</v>
      </c>
      <c r="L19" s="21">
        <v>1</v>
      </c>
      <c r="M19" s="21">
        <v>233</v>
      </c>
      <c r="N19" s="21">
        <v>22</v>
      </c>
      <c r="O19" s="21">
        <v>8</v>
      </c>
      <c r="P19" s="21">
        <v>9</v>
      </c>
      <c r="Q19" s="21">
        <v>0</v>
      </c>
      <c r="R19" s="21">
        <v>22</v>
      </c>
      <c r="S19" s="21">
        <v>0</v>
      </c>
      <c r="T19" s="21">
        <v>14</v>
      </c>
      <c r="U19" s="21">
        <v>245</v>
      </c>
      <c r="V19" s="21">
        <v>5</v>
      </c>
      <c r="W19" s="21">
        <v>30</v>
      </c>
      <c r="X19" s="21">
        <v>2</v>
      </c>
      <c r="Y19" s="20">
        <f t="shared" si="0"/>
        <v>611</v>
      </c>
      <c r="Z19" s="21">
        <v>20</v>
      </c>
    </row>
    <row r="20" spans="1:26" s="22" customFormat="1" x14ac:dyDescent="0.3">
      <c r="A20" s="17" t="s">
        <v>15</v>
      </c>
      <c r="B20" s="18" t="s">
        <v>12</v>
      </c>
      <c r="C20" s="18" t="s">
        <v>34</v>
      </c>
      <c r="D20" s="19"/>
      <c r="E20" s="20">
        <v>930</v>
      </c>
      <c r="F20" s="20">
        <v>7</v>
      </c>
      <c r="G20" s="21">
        <v>207</v>
      </c>
      <c r="H20" s="21">
        <v>514</v>
      </c>
      <c r="I20" s="21">
        <v>550</v>
      </c>
      <c r="J20" s="21"/>
      <c r="K20" s="21">
        <v>19</v>
      </c>
      <c r="L20" s="21">
        <v>2</v>
      </c>
      <c r="M20" s="21">
        <v>204</v>
      </c>
      <c r="N20" s="21">
        <v>15</v>
      </c>
      <c r="O20" s="21">
        <v>6</v>
      </c>
      <c r="P20" s="21">
        <v>1</v>
      </c>
      <c r="Q20" s="21">
        <v>1</v>
      </c>
      <c r="R20" s="21">
        <v>11</v>
      </c>
      <c r="S20" s="21">
        <v>0</v>
      </c>
      <c r="T20" s="21">
        <v>19</v>
      </c>
      <c r="U20" s="21">
        <v>215</v>
      </c>
      <c r="V20" s="21">
        <v>3</v>
      </c>
      <c r="W20" s="21">
        <v>16</v>
      </c>
      <c r="X20" s="21">
        <v>0</v>
      </c>
      <c r="Y20" s="20">
        <f t="shared" si="0"/>
        <v>512</v>
      </c>
      <c r="Z20" s="21">
        <v>36</v>
      </c>
    </row>
    <row r="21" spans="1:26" s="22" customFormat="1" x14ac:dyDescent="0.3">
      <c r="A21" s="17" t="s">
        <v>15</v>
      </c>
      <c r="B21" s="18" t="s">
        <v>12</v>
      </c>
      <c r="C21" s="18" t="s">
        <v>35</v>
      </c>
      <c r="D21" s="19"/>
      <c r="E21" s="20">
        <v>1398</v>
      </c>
      <c r="F21" s="20">
        <v>9</v>
      </c>
      <c r="G21" s="21">
        <v>221</v>
      </c>
      <c r="H21" s="21">
        <v>592</v>
      </c>
      <c r="I21" s="21">
        <v>790</v>
      </c>
      <c r="J21" s="21"/>
      <c r="K21" s="21">
        <v>30</v>
      </c>
      <c r="L21" s="21">
        <v>1</v>
      </c>
      <c r="M21" s="21">
        <v>228</v>
      </c>
      <c r="N21" s="21">
        <v>26</v>
      </c>
      <c r="O21" s="21">
        <v>6</v>
      </c>
      <c r="P21" s="21">
        <v>3</v>
      </c>
      <c r="Q21" s="21">
        <v>3</v>
      </c>
      <c r="R21" s="21">
        <v>17</v>
      </c>
      <c r="S21" s="21">
        <v>3</v>
      </c>
      <c r="T21" s="21">
        <v>25</v>
      </c>
      <c r="U21" s="21">
        <v>368</v>
      </c>
      <c r="V21" s="21">
        <v>3</v>
      </c>
      <c r="W21" s="21">
        <v>27</v>
      </c>
      <c r="X21" s="21">
        <v>5</v>
      </c>
      <c r="Y21" s="20">
        <f t="shared" si="0"/>
        <v>745</v>
      </c>
      <c r="Z21" s="21">
        <v>35</v>
      </c>
    </row>
    <row r="22" spans="1:26" s="22" customFormat="1" x14ac:dyDescent="0.3">
      <c r="A22" s="17" t="s">
        <v>15</v>
      </c>
      <c r="B22" s="18" t="s">
        <v>12</v>
      </c>
      <c r="C22" s="18" t="s">
        <v>36</v>
      </c>
      <c r="D22" s="19"/>
      <c r="E22" s="20">
        <v>557</v>
      </c>
      <c r="F22" s="20">
        <v>8</v>
      </c>
      <c r="G22" s="21">
        <v>126</v>
      </c>
      <c r="H22" s="21">
        <v>256</v>
      </c>
      <c r="I22" s="21">
        <v>327</v>
      </c>
      <c r="J22" s="21"/>
      <c r="K22" s="21">
        <v>15</v>
      </c>
      <c r="L22" s="21">
        <v>0</v>
      </c>
      <c r="M22" s="21">
        <v>78</v>
      </c>
      <c r="N22" s="21">
        <v>15</v>
      </c>
      <c r="O22" s="21">
        <v>1</v>
      </c>
      <c r="P22" s="21">
        <v>1</v>
      </c>
      <c r="Q22" s="21">
        <v>0</v>
      </c>
      <c r="R22" s="21">
        <v>2</v>
      </c>
      <c r="S22" s="21">
        <v>1</v>
      </c>
      <c r="T22" s="21">
        <v>3</v>
      </c>
      <c r="U22" s="21">
        <v>164</v>
      </c>
      <c r="V22" s="21">
        <v>2</v>
      </c>
      <c r="W22" s="21">
        <v>32</v>
      </c>
      <c r="X22" s="21">
        <v>0</v>
      </c>
      <c r="Y22" s="20">
        <f t="shared" si="0"/>
        <v>314</v>
      </c>
      <c r="Z22" s="21">
        <v>13</v>
      </c>
    </row>
    <row r="23" spans="1:26" s="22" customFormat="1" x14ac:dyDescent="0.3">
      <c r="A23" s="17" t="s">
        <v>15</v>
      </c>
      <c r="B23" s="18" t="s">
        <v>12</v>
      </c>
      <c r="C23" s="18" t="s">
        <v>37</v>
      </c>
      <c r="D23" s="19"/>
      <c r="E23" s="20">
        <v>366</v>
      </c>
      <c r="F23" s="20">
        <v>10</v>
      </c>
      <c r="G23" s="21">
        <v>80</v>
      </c>
      <c r="H23" s="21">
        <v>166</v>
      </c>
      <c r="I23" s="21">
        <v>192</v>
      </c>
      <c r="J23" s="21"/>
      <c r="K23" s="21">
        <v>7</v>
      </c>
      <c r="L23" s="21">
        <v>1</v>
      </c>
      <c r="M23" s="21">
        <v>78</v>
      </c>
      <c r="N23" s="21">
        <v>5</v>
      </c>
      <c r="O23" s="21">
        <v>1</v>
      </c>
      <c r="P23" s="21">
        <v>0</v>
      </c>
      <c r="Q23" s="21">
        <v>0</v>
      </c>
      <c r="R23" s="21">
        <v>3</v>
      </c>
      <c r="S23" s="21">
        <v>1</v>
      </c>
      <c r="T23" s="21">
        <v>5</v>
      </c>
      <c r="U23" s="21">
        <v>70</v>
      </c>
      <c r="V23" s="21">
        <v>1</v>
      </c>
      <c r="W23" s="21">
        <v>10</v>
      </c>
      <c r="X23" s="21">
        <v>0</v>
      </c>
      <c r="Y23" s="20">
        <f t="shared" si="0"/>
        <v>182</v>
      </c>
      <c r="Z23" s="21">
        <v>6</v>
      </c>
    </row>
    <row r="24" spans="1:26" s="22" customFormat="1" x14ac:dyDescent="0.3">
      <c r="A24" s="17" t="s">
        <v>15</v>
      </c>
      <c r="B24" s="18" t="s">
        <v>12</v>
      </c>
      <c r="C24" s="18" t="s">
        <v>38</v>
      </c>
      <c r="D24" s="19"/>
      <c r="E24" s="20">
        <v>737</v>
      </c>
      <c r="F24" s="20">
        <v>43</v>
      </c>
      <c r="G24" s="21">
        <v>167</v>
      </c>
      <c r="H24" s="21">
        <v>487</v>
      </c>
      <c r="I24" s="21">
        <v>612</v>
      </c>
      <c r="J24" s="21"/>
      <c r="K24" s="21">
        <v>26</v>
      </c>
      <c r="L24" s="21">
        <v>1</v>
      </c>
      <c r="M24" s="21">
        <v>255</v>
      </c>
      <c r="N24" s="21">
        <v>14</v>
      </c>
      <c r="O24" s="21">
        <v>3</v>
      </c>
      <c r="P24" s="21">
        <v>1</v>
      </c>
      <c r="Q24" s="21">
        <v>1</v>
      </c>
      <c r="R24" s="21">
        <v>3</v>
      </c>
      <c r="S24" s="21">
        <v>2</v>
      </c>
      <c r="T24" s="21">
        <v>17</v>
      </c>
      <c r="U24" s="21">
        <v>243</v>
      </c>
      <c r="V24" s="21">
        <v>0</v>
      </c>
      <c r="W24" s="21">
        <v>13</v>
      </c>
      <c r="X24" s="21">
        <v>1</v>
      </c>
      <c r="Y24" s="20">
        <f t="shared" si="0"/>
        <v>580</v>
      </c>
      <c r="Z24" s="21">
        <v>21</v>
      </c>
    </row>
    <row r="25" spans="1:26" s="22" customFormat="1" x14ac:dyDescent="0.3">
      <c r="A25" s="17" t="s">
        <v>15</v>
      </c>
      <c r="B25" s="18" t="s">
        <v>12</v>
      </c>
      <c r="C25" s="18" t="s">
        <v>39</v>
      </c>
      <c r="D25" s="19"/>
      <c r="E25" s="20">
        <v>1228</v>
      </c>
      <c r="F25" s="20">
        <v>9</v>
      </c>
      <c r="G25" s="21">
        <v>270</v>
      </c>
      <c r="H25" s="21">
        <v>630</v>
      </c>
      <c r="I25" s="21">
        <v>783</v>
      </c>
      <c r="J25" s="21"/>
      <c r="K25" s="21">
        <v>30</v>
      </c>
      <c r="L25" s="21">
        <v>3</v>
      </c>
      <c r="M25" s="21">
        <v>302</v>
      </c>
      <c r="N25" s="21">
        <v>32</v>
      </c>
      <c r="O25" s="21">
        <v>3</v>
      </c>
      <c r="P25" s="21">
        <v>1</v>
      </c>
      <c r="Q25" s="21">
        <v>1</v>
      </c>
      <c r="R25" s="21">
        <v>0</v>
      </c>
      <c r="S25" s="21">
        <v>2</v>
      </c>
      <c r="T25" s="21">
        <v>21</v>
      </c>
      <c r="U25" s="21">
        <v>252</v>
      </c>
      <c r="V25" s="21">
        <v>5</v>
      </c>
      <c r="W25" s="21">
        <v>101</v>
      </c>
      <c r="X25" s="21">
        <v>1</v>
      </c>
      <c r="Y25" s="20">
        <f t="shared" si="0"/>
        <v>754</v>
      </c>
      <c r="Z25" s="21">
        <v>28</v>
      </c>
    </row>
    <row r="26" spans="1:26" s="22" customFormat="1" x14ac:dyDescent="0.3">
      <c r="A26" s="17" t="s">
        <v>15</v>
      </c>
      <c r="B26" s="18" t="s">
        <v>12</v>
      </c>
      <c r="C26" s="18" t="s">
        <v>40</v>
      </c>
      <c r="D26" s="19"/>
      <c r="E26" s="20">
        <v>1278</v>
      </c>
      <c r="F26" s="20">
        <v>7</v>
      </c>
      <c r="G26" s="21">
        <v>283</v>
      </c>
      <c r="H26" s="21">
        <v>649</v>
      </c>
      <c r="I26" s="21">
        <v>816</v>
      </c>
      <c r="J26" s="21"/>
      <c r="K26" s="21">
        <v>24</v>
      </c>
      <c r="L26" s="21">
        <v>0</v>
      </c>
      <c r="M26" s="21">
        <v>289</v>
      </c>
      <c r="N26" s="21">
        <v>36</v>
      </c>
      <c r="O26" s="21">
        <v>4</v>
      </c>
      <c r="P26" s="21">
        <v>1</v>
      </c>
      <c r="Q26" s="21">
        <v>0</v>
      </c>
      <c r="R26" s="21">
        <v>5</v>
      </c>
      <c r="S26" s="21">
        <v>1</v>
      </c>
      <c r="T26" s="21">
        <v>18</v>
      </c>
      <c r="U26" s="21">
        <v>244</v>
      </c>
      <c r="V26" s="21">
        <v>7</v>
      </c>
      <c r="W26" s="21">
        <v>144</v>
      </c>
      <c r="X26" s="21">
        <v>2</v>
      </c>
      <c r="Y26" s="20">
        <f t="shared" si="0"/>
        <v>775</v>
      </c>
      <c r="Z26" s="21">
        <v>34</v>
      </c>
    </row>
    <row r="27" spans="1:26" s="22" customFormat="1" x14ac:dyDescent="0.3">
      <c r="A27" s="17" t="s">
        <v>15</v>
      </c>
      <c r="B27" s="18" t="s">
        <v>12</v>
      </c>
      <c r="C27" s="18" t="s">
        <v>41</v>
      </c>
      <c r="D27" s="19"/>
      <c r="E27" s="20">
        <v>1434</v>
      </c>
      <c r="F27" s="20">
        <v>4</v>
      </c>
      <c r="G27" s="21">
        <v>283</v>
      </c>
      <c r="H27" s="21">
        <v>743</v>
      </c>
      <c r="I27" s="21">
        <v>953</v>
      </c>
      <c r="J27" s="21"/>
      <c r="K27" s="21">
        <v>22</v>
      </c>
      <c r="L27" s="21">
        <v>0</v>
      </c>
      <c r="M27" s="21">
        <v>279</v>
      </c>
      <c r="N27" s="21">
        <v>113</v>
      </c>
      <c r="O27" s="21">
        <v>7</v>
      </c>
      <c r="P27" s="21">
        <v>4</v>
      </c>
      <c r="Q27" s="21">
        <v>2</v>
      </c>
      <c r="R27" s="21">
        <v>18</v>
      </c>
      <c r="S27" s="21">
        <v>2</v>
      </c>
      <c r="T27" s="21">
        <v>19</v>
      </c>
      <c r="U27" s="21">
        <v>369</v>
      </c>
      <c r="V27" s="21">
        <v>9</v>
      </c>
      <c r="W27" s="21">
        <v>31</v>
      </c>
      <c r="X27" s="21">
        <v>4</v>
      </c>
      <c r="Y27" s="20">
        <f t="shared" si="0"/>
        <v>879</v>
      </c>
      <c r="Z27" s="21">
        <v>71</v>
      </c>
    </row>
    <row r="28" spans="1:26" s="22" customFormat="1" x14ac:dyDescent="0.3">
      <c r="A28" s="17" t="s">
        <v>15</v>
      </c>
      <c r="B28" s="18" t="s">
        <v>12</v>
      </c>
      <c r="C28" s="18" t="s">
        <v>42</v>
      </c>
      <c r="D28" s="19"/>
      <c r="E28" s="20">
        <v>1155</v>
      </c>
      <c r="F28" s="20">
        <v>10</v>
      </c>
      <c r="G28" s="21">
        <v>260</v>
      </c>
      <c r="H28" s="21">
        <v>604</v>
      </c>
      <c r="I28" s="21">
        <v>768</v>
      </c>
      <c r="J28" s="21"/>
      <c r="K28" s="21">
        <v>23</v>
      </c>
      <c r="L28" s="21">
        <v>1</v>
      </c>
      <c r="M28" s="21">
        <v>255</v>
      </c>
      <c r="N28" s="21">
        <v>109</v>
      </c>
      <c r="O28" s="21">
        <v>8</v>
      </c>
      <c r="P28" s="21">
        <v>3</v>
      </c>
      <c r="Q28" s="21">
        <v>4</v>
      </c>
      <c r="R28" s="21">
        <v>2</v>
      </c>
      <c r="S28" s="21">
        <v>3</v>
      </c>
      <c r="T28" s="21">
        <v>18</v>
      </c>
      <c r="U28" s="21">
        <v>256</v>
      </c>
      <c r="V28" s="21">
        <v>5</v>
      </c>
      <c r="W28" s="21">
        <v>23</v>
      </c>
      <c r="X28" s="21">
        <v>7</v>
      </c>
      <c r="Y28" s="20">
        <f t="shared" si="0"/>
        <v>717</v>
      </c>
      <c r="Z28" s="21">
        <v>44</v>
      </c>
    </row>
    <row r="29" spans="1:26" s="22" customFormat="1" x14ac:dyDescent="0.3">
      <c r="A29" s="17" t="s">
        <v>15</v>
      </c>
      <c r="B29" s="18" t="s">
        <v>12</v>
      </c>
      <c r="C29" s="18" t="s">
        <v>43</v>
      </c>
      <c r="D29" s="19"/>
      <c r="E29" s="20">
        <v>1023</v>
      </c>
      <c r="F29" s="20">
        <v>10</v>
      </c>
      <c r="G29" s="21">
        <v>215</v>
      </c>
      <c r="H29" s="21">
        <v>500</v>
      </c>
      <c r="I29" s="21">
        <v>606</v>
      </c>
      <c r="J29" s="21"/>
      <c r="K29" s="21">
        <v>37</v>
      </c>
      <c r="L29" s="21">
        <v>0</v>
      </c>
      <c r="M29" s="21">
        <v>185</v>
      </c>
      <c r="N29" s="21">
        <v>47</v>
      </c>
      <c r="O29" s="21">
        <v>5</v>
      </c>
      <c r="P29" s="21">
        <v>1</v>
      </c>
      <c r="Q29" s="21">
        <v>3</v>
      </c>
      <c r="R29" s="21">
        <v>6</v>
      </c>
      <c r="S29" s="21">
        <v>1</v>
      </c>
      <c r="T29" s="21">
        <v>20</v>
      </c>
      <c r="U29" s="21">
        <v>265</v>
      </c>
      <c r="V29" s="21">
        <v>1</v>
      </c>
      <c r="W29" s="21">
        <v>13</v>
      </c>
      <c r="X29" s="21">
        <v>1</v>
      </c>
      <c r="Y29" s="20">
        <f t="shared" si="0"/>
        <v>585</v>
      </c>
      <c r="Z29" s="21">
        <v>19</v>
      </c>
    </row>
    <row r="30" spans="1:26" s="22" customFormat="1" x14ac:dyDescent="0.3">
      <c r="A30" s="17" t="s">
        <v>15</v>
      </c>
      <c r="B30" s="18" t="s">
        <v>12</v>
      </c>
      <c r="C30" s="18" t="s">
        <v>44</v>
      </c>
      <c r="D30" s="19"/>
      <c r="E30" s="20">
        <v>1185</v>
      </c>
      <c r="F30" s="20">
        <v>5</v>
      </c>
      <c r="G30" s="21">
        <v>265</v>
      </c>
      <c r="H30" s="21">
        <v>640</v>
      </c>
      <c r="I30" s="21">
        <v>779</v>
      </c>
      <c r="J30" s="21"/>
      <c r="K30" s="21">
        <v>39</v>
      </c>
      <c r="L30" s="21">
        <v>1</v>
      </c>
      <c r="M30" s="21">
        <v>292</v>
      </c>
      <c r="N30" s="21">
        <v>43</v>
      </c>
      <c r="O30" s="21">
        <v>14</v>
      </c>
      <c r="P30" s="21">
        <v>0</v>
      </c>
      <c r="Q30" s="21">
        <v>2</v>
      </c>
      <c r="R30" s="21">
        <v>5</v>
      </c>
      <c r="S30" s="21">
        <v>0</v>
      </c>
      <c r="T30" s="21">
        <v>24</v>
      </c>
      <c r="U30" s="21">
        <v>291</v>
      </c>
      <c r="V30" s="21">
        <v>7</v>
      </c>
      <c r="W30" s="21">
        <v>22</v>
      </c>
      <c r="X30" s="21">
        <v>2</v>
      </c>
      <c r="Y30" s="20">
        <f t="shared" si="0"/>
        <v>742</v>
      </c>
      <c r="Z30" s="21">
        <v>35</v>
      </c>
    </row>
    <row r="31" spans="1:26" s="22" customFormat="1" x14ac:dyDescent="0.3">
      <c r="A31" s="17" t="s">
        <v>15</v>
      </c>
      <c r="B31" s="18" t="s">
        <v>12</v>
      </c>
      <c r="C31" s="18" t="s">
        <v>45</v>
      </c>
      <c r="D31" s="19"/>
      <c r="E31" s="20">
        <v>849</v>
      </c>
      <c r="F31" s="20">
        <v>5</v>
      </c>
      <c r="G31" s="21">
        <v>187</v>
      </c>
      <c r="H31" s="21">
        <v>425</v>
      </c>
      <c r="I31" s="21">
        <v>531</v>
      </c>
      <c r="J31" s="21"/>
      <c r="K31" s="21">
        <v>14</v>
      </c>
      <c r="L31" s="21">
        <v>4</v>
      </c>
      <c r="M31" s="21">
        <v>189</v>
      </c>
      <c r="N31" s="21">
        <v>51</v>
      </c>
      <c r="O31" s="21">
        <v>17</v>
      </c>
      <c r="P31" s="21">
        <v>2</v>
      </c>
      <c r="Q31" s="21">
        <v>1</v>
      </c>
      <c r="R31" s="21">
        <v>7</v>
      </c>
      <c r="S31" s="21">
        <v>1</v>
      </c>
      <c r="T31" s="21">
        <v>5</v>
      </c>
      <c r="U31" s="21">
        <v>191</v>
      </c>
      <c r="V31" s="21">
        <v>10</v>
      </c>
      <c r="W31" s="21">
        <v>19</v>
      </c>
      <c r="X31" s="21">
        <v>0</v>
      </c>
      <c r="Y31" s="20">
        <f t="shared" si="0"/>
        <v>511</v>
      </c>
      <c r="Z31" s="21">
        <v>20</v>
      </c>
    </row>
    <row r="32" spans="1:26" s="28" customFormat="1" x14ac:dyDescent="0.3">
      <c r="A32" s="23" t="s">
        <v>15</v>
      </c>
      <c r="B32" s="24" t="s">
        <v>12</v>
      </c>
      <c r="C32" s="24" t="s">
        <v>46</v>
      </c>
      <c r="D32" s="25"/>
      <c r="E32" s="26">
        <v>1490</v>
      </c>
      <c r="F32" s="26">
        <v>6</v>
      </c>
      <c r="G32" s="27">
        <v>297</v>
      </c>
      <c r="H32" s="27">
        <v>707</v>
      </c>
      <c r="I32" s="27">
        <v>886</v>
      </c>
      <c r="J32" s="27"/>
      <c r="K32" s="27">
        <v>25</v>
      </c>
      <c r="L32" s="27">
        <v>1</v>
      </c>
      <c r="M32" s="27">
        <v>244</v>
      </c>
      <c r="N32" s="27">
        <v>63</v>
      </c>
      <c r="O32" s="27">
        <v>3</v>
      </c>
      <c r="P32" s="27">
        <v>10</v>
      </c>
      <c r="Q32" s="27">
        <v>0</v>
      </c>
      <c r="R32" s="27">
        <v>5</v>
      </c>
      <c r="S32" s="27">
        <v>3</v>
      </c>
      <c r="T32" s="27">
        <v>42</v>
      </c>
      <c r="U32" s="27">
        <v>405</v>
      </c>
      <c r="V32" s="27">
        <v>2</v>
      </c>
      <c r="W32" s="27">
        <v>34</v>
      </c>
      <c r="X32" s="27">
        <v>2</v>
      </c>
      <c r="Y32" s="26">
        <f t="shared" si="0"/>
        <v>839</v>
      </c>
      <c r="Z32" s="27">
        <v>42</v>
      </c>
    </row>
    <row r="33" spans="1:26" s="22" customFormat="1" x14ac:dyDescent="0.3">
      <c r="A33" s="17" t="s">
        <v>15</v>
      </c>
      <c r="B33" s="18" t="s">
        <v>12</v>
      </c>
      <c r="C33" s="18" t="s">
        <v>47</v>
      </c>
      <c r="D33" s="19"/>
      <c r="E33" s="20">
        <v>540</v>
      </c>
      <c r="F33" s="20">
        <v>3</v>
      </c>
      <c r="G33" s="21">
        <v>160</v>
      </c>
      <c r="H33" s="21">
        <v>330</v>
      </c>
      <c r="I33" s="21">
        <v>385</v>
      </c>
      <c r="J33" s="21"/>
      <c r="K33" s="21">
        <v>6</v>
      </c>
      <c r="L33" s="21">
        <v>1</v>
      </c>
      <c r="M33" s="21">
        <v>117</v>
      </c>
      <c r="N33" s="21">
        <v>26</v>
      </c>
      <c r="O33" s="21">
        <v>3</v>
      </c>
      <c r="P33" s="21">
        <v>0</v>
      </c>
      <c r="Q33" s="21">
        <v>0</v>
      </c>
      <c r="R33" s="21">
        <v>1</v>
      </c>
      <c r="S33" s="21">
        <v>1</v>
      </c>
      <c r="T33" s="21">
        <v>9</v>
      </c>
      <c r="U33" s="21">
        <v>175</v>
      </c>
      <c r="V33" s="21">
        <v>5</v>
      </c>
      <c r="W33" s="21">
        <v>9</v>
      </c>
      <c r="X33" s="21">
        <v>0</v>
      </c>
      <c r="Y33" s="20">
        <f t="shared" si="0"/>
        <v>353</v>
      </c>
      <c r="Z33" s="21">
        <v>31</v>
      </c>
    </row>
    <row r="34" spans="1:26" s="22" customFormat="1" x14ac:dyDescent="0.3">
      <c r="A34" s="17" t="s">
        <v>15</v>
      </c>
      <c r="B34" s="18" t="s">
        <v>12</v>
      </c>
      <c r="C34" s="18" t="s">
        <v>48</v>
      </c>
      <c r="D34" s="19"/>
      <c r="E34" s="20">
        <v>1339</v>
      </c>
      <c r="F34" s="20">
        <v>5</v>
      </c>
      <c r="G34" s="21">
        <v>295</v>
      </c>
      <c r="H34" s="21">
        <v>725</v>
      </c>
      <c r="I34" s="21">
        <v>909</v>
      </c>
      <c r="J34" s="21"/>
      <c r="K34" s="21">
        <v>29</v>
      </c>
      <c r="L34" s="21">
        <v>0</v>
      </c>
      <c r="M34" s="21">
        <v>191</v>
      </c>
      <c r="N34" s="21">
        <v>49</v>
      </c>
      <c r="O34" s="21">
        <v>3</v>
      </c>
      <c r="P34" s="21">
        <v>1</v>
      </c>
      <c r="Q34" s="21">
        <v>2</v>
      </c>
      <c r="R34" s="21">
        <v>10</v>
      </c>
      <c r="S34" s="21">
        <v>1</v>
      </c>
      <c r="T34" s="21">
        <v>13</v>
      </c>
      <c r="U34" s="21">
        <v>550</v>
      </c>
      <c r="V34" s="21">
        <v>0</v>
      </c>
      <c r="W34" s="21">
        <v>19</v>
      </c>
      <c r="X34" s="21">
        <v>2</v>
      </c>
      <c r="Y34" s="20">
        <f t="shared" si="0"/>
        <v>870</v>
      </c>
      <c r="Z34" s="21">
        <v>37</v>
      </c>
    </row>
    <row r="35" spans="1:26" s="22" customFormat="1" x14ac:dyDescent="0.3">
      <c r="A35" s="17" t="s">
        <v>15</v>
      </c>
      <c r="B35" s="18" t="s">
        <v>12</v>
      </c>
      <c r="C35" s="18" t="s">
        <v>49</v>
      </c>
      <c r="D35" s="19"/>
      <c r="E35" s="20">
        <v>617</v>
      </c>
      <c r="F35" s="20">
        <v>1</v>
      </c>
      <c r="G35" s="21">
        <v>132</v>
      </c>
      <c r="H35" s="21">
        <v>321</v>
      </c>
      <c r="I35" s="21">
        <v>397</v>
      </c>
      <c r="J35" s="21"/>
      <c r="K35" s="21">
        <v>26</v>
      </c>
      <c r="L35" s="21">
        <v>1</v>
      </c>
      <c r="M35" s="21">
        <v>92</v>
      </c>
      <c r="N35" s="21">
        <v>24</v>
      </c>
      <c r="O35" s="21">
        <v>2</v>
      </c>
      <c r="P35" s="21">
        <v>2</v>
      </c>
      <c r="Q35" s="21">
        <v>3</v>
      </c>
      <c r="R35" s="21">
        <v>9</v>
      </c>
      <c r="S35" s="21">
        <v>1</v>
      </c>
      <c r="T35" s="21">
        <v>10</v>
      </c>
      <c r="U35" s="21">
        <v>214</v>
      </c>
      <c r="V35" s="21">
        <v>1</v>
      </c>
      <c r="W35" s="21">
        <v>4</v>
      </c>
      <c r="X35" s="21">
        <v>2</v>
      </c>
      <c r="Y35" s="20">
        <f t="shared" si="0"/>
        <v>391</v>
      </c>
      <c r="Z35" s="21">
        <v>5</v>
      </c>
    </row>
    <row r="36" spans="1:26" s="22" customFormat="1" x14ac:dyDescent="0.3">
      <c r="A36" s="17" t="s">
        <v>15</v>
      </c>
      <c r="B36" s="18" t="s">
        <v>12</v>
      </c>
      <c r="C36" s="18" t="s">
        <v>50</v>
      </c>
      <c r="D36" s="19"/>
      <c r="E36" s="20">
        <v>579</v>
      </c>
      <c r="F36" s="20">
        <v>5</v>
      </c>
      <c r="G36" s="21">
        <v>118</v>
      </c>
      <c r="H36" s="21">
        <v>286</v>
      </c>
      <c r="I36" s="21">
        <v>331</v>
      </c>
      <c r="J36" s="21"/>
      <c r="K36" s="21">
        <v>8</v>
      </c>
      <c r="L36" s="21">
        <v>2</v>
      </c>
      <c r="M36" s="21">
        <v>113</v>
      </c>
      <c r="N36" s="21">
        <v>35</v>
      </c>
      <c r="O36" s="21">
        <v>0</v>
      </c>
      <c r="P36" s="21">
        <v>0</v>
      </c>
      <c r="Q36" s="21">
        <v>1</v>
      </c>
      <c r="R36" s="21">
        <v>1</v>
      </c>
      <c r="S36" s="21">
        <v>2</v>
      </c>
      <c r="T36" s="21">
        <v>6</v>
      </c>
      <c r="U36" s="21">
        <v>140</v>
      </c>
      <c r="V36" s="21">
        <v>0</v>
      </c>
      <c r="W36" s="21">
        <v>4</v>
      </c>
      <c r="X36" s="21">
        <v>0</v>
      </c>
      <c r="Y36" s="20">
        <f t="shared" si="0"/>
        <v>312</v>
      </c>
      <c r="Z36" s="21">
        <v>19</v>
      </c>
    </row>
    <row r="37" spans="1:26" s="22" customFormat="1" x14ac:dyDescent="0.3">
      <c r="A37" s="17" t="s">
        <v>15</v>
      </c>
      <c r="B37" s="18" t="s">
        <v>12</v>
      </c>
      <c r="C37" s="18" t="s">
        <v>51</v>
      </c>
      <c r="D37" s="19"/>
      <c r="E37" s="20">
        <v>309</v>
      </c>
      <c r="F37" s="20">
        <v>1</v>
      </c>
      <c r="G37" s="21">
        <v>84</v>
      </c>
      <c r="H37" s="21">
        <v>208</v>
      </c>
      <c r="I37" s="21">
        <v>239</v>
      </c>
      <c r="J37" s="21"/>
      <c r="K37" s="21">
        <v>11</v>
      </c>
      <c r="L37" s="21">
        <v>0</v>
      </c>
      <c r="M37" s="21">
        <v>65</v>
      </c>
      <c r="N37" s="21">
        <v>7</v>
      </c>
      <c r="O37" s="21">
        <v>1</v>
      </c>
      <c r="P37" s="21">
        <v>1</v>
      </c>
      <c r="Q37" s="21">
        <v>0</v>
      </c>
      <c r="R37" s="21">
        <v>4</v>
      </c>
      <c r="S37" s="21">
        <v>0</v>
      </c>
      <c r="T37" s="21">
        <v>2</v>
      </c>
      <c r="U37" s="21">
        <v>126</v>
      </c>
      <c r="V37" s="21">
        <v>2</v>
      </c>
      <c r="W37" s="21">
        <v>13</v>
      </c>
      <c r="X37" s="21">
        <v>1</v>
      </c>
      <c r="Y37" s="20">
        <f t="shared" si="0"/>
        <v>233</v>
      </c>
      <c r="Z37" s="21">
        <v>5</v>
      </c>
    </row>
    <row r="38" spans="1:26" s="22" customFormat="1" x14ac:dyDescent="0.3">
      <c r="A38" s="17" t="s">
        <v>15</v>
      </c>
      <c r="B38" s="18" t="s">
        <v>12</v>
      </c>
      <c r="C38" s="18" t="s">
        <v>52</v>
      </c>
      <c r="D38" s="19"/>
      <c r="E38" s="20">
        <v>512</v>
      </c>
      <c r="F38" s="20">
        <v>2</v>
      </c>
      <c r="G38" s="21">
        <v>86</v>
      </c>
      <c r="H38" s="21">
        <v>290</v>
      </c>
      <c r="I38" s="21">
        <v>362</v>
      </c>
      <c r="J38" s="21"/>
      <c r="K38" s="21">
        <v>11</v>
      </c>
      <c r="L38" s="21">
        <v>2</v>
      </c>
      <c r="M38" s="21">
        <v>57</v>
      </c>
      <c r="N38" s="21">
        <v>35</v>
      </c>
      <c r="O38" s="21">
        <v>2</v>
      </c>
      <c r="P38" s="21">
        <v>0</v>
      </c>
      <c r="Q38" s="21">
        <v>2</v>
      </c>
      <c r="R38" s="21">
        <v>16</v>
      </c>
      <c r="S38" s="21">
        <v>1</v>
      </c>
      <c r="T38" s="21">
        <v>3</v>
      </c>
      <c r="U38" s="21">
        <v>197</v>
      </c>
      <c r="V38" s="21">
        <v>1</v>
      </c>
      <c r="W38" s="21">
        <v>15</v>
      </c>
      <c r="X38" s="21">
        <v>2</v>
      </c>
      <c r="Y38" s="20">
        <f t="shared" si="0"/>
        <v>344</v>
      </c>
      <c r="Z38" s="21">
        <v>18</v>
      </c>
    </row>
    <row r="39" spans="1:26" s="22" customFormat="1" x14ac:dyDescent="0.3">
      <c r="A39" s="17" t="s">
        <v>15</v>
      </c>
      <c r="B39" s="18" t="s">
        <v>12</v>
      </c>
      <c r="C39" s="18" t="s">
        <v>53</v>
      </c>
      <c r="D39" s="19"/>
      <c r="E39" s="20">
        <v>323</v>
      </c>
      <c r="F39" s="20">
        <v>19</v>
      </c>
      <c r="G39" s="21">
        <v>87</v>
      </c>
      <c r="H39" s="21">
        <v>215</v>
      </c>
      <c r="I39" s="21">
        <v>255</v>
      </c>
      <c r="J39" s="21"/>
      <c r="K39" s="21">
        <v>6</v>
      </c>
      <c r="L39" s="21">
        <v>3</v>
      </c>
      <c r="M39" s="21">
        <v>58</v>
      </c>
      <c r="N39" s="21">
        <v>20</v>
      </c>
      <c r="O39" s="21">
        <v>2</v>
      </c>
      <c r="P39" s="21">
        <v>0</v>
      </c>
      <c r="Q39" s="21">
        <v>0</v>
      </c>
      <c r="R39" s="21">
        <v>3</v>
      </c>
      <c r="S39" s="21">
        <v>0</v>
      </c>
      <c r="T39" s="21">
        <v>7</v>
      </c>
      <c r="U39" s="21">
        <v>126</v>
      </c>
      <c r="V39" s="21">
        <v>1</v>
      </c>
      <c r="W39" s="21">
        <v>5</v>
      </c>
      <c r="X39" s="21">
        <v>0</v>
      </c>
      <c r="Y39" s="20">
        <f t="shared" si="0"/>
        <v>231</v>
      </c>
      <c r="Z39" s="21">
        <v>11</v>
      </c>
    </row>
    <row r="40" spans="1:26" s="22" customFormat="1" x14ac:dyDescent="0.3">
      <c r="A40" s="17" t="s">
        <v>15</v>
      </c>
      <c r="B40" s="18" t="s">
        <v>12</v>
      </c>
      <c r="C40" s="18" t="s">
        <v>54</v>
      </c>
      <c r="D40" s="19"/>
      <c r="E40" s="20">
        <v>783</v>
      </c>
      <c r="F40" s="20">
        <v>26</v>
      </c>
      <c r="G40" s="21">
        <v>158</v>
      </c>
      <c r="H40" s="21">
        <v>455</v>
      </c>
      <c r="I40" s="21">
        <v>582</v>
      </c>
      <c r="J40" s="21"/>
      <c r="K40" s="21">
        <v>10</v>
      </c>
      <c r="L40" s="21">
        <v>2</v>
      </c>
      <c r="M40" s="21">
        <v>188</v>
      </c>
      <c r="N40" s="21">
        <v>21</v>
      </c>
      <c r="O40" s="21">
        <v>5</v>
      </c>
      <c r="P40" s="21">
        <v>2</v>
      </c>
      <c r="Q40" s="21">
        <v>2</v>
      </c>
      <c r="R40" s="21">
        <v>5</v>
      </c>
      <c r="S40" s="21">
        <v>1</v>
      </c>
      <c r="T40" s="21">
        <v>12</v>
      </c>
      <c r="U40" s="21">
        <v>275</v>
      </c>
      <c r="V40" s="21">
        <v>1</v>
      </c>
      <c r="W40" s="21">
        <v>30</v>
      </c>
      <c r="X40" s="21">
        <v>2</v>
      </c>
      <c r="Y40" s="20">
        <f t="shared" si="0"/>
        <v>556</v>
      </c>
      <c r="Z40" s="21">
        <v>18</v>
      </c>
    </row>
    <row r="41" spans="1:26" s="22" customFormat="1" x14ac:dyDescent="0.3">
      <c r="A41" s="17" t="s">
        <v>15</v>
      </c>
      <c r="B41" s="18" t="s">
        <v>12</v>
      </c>
      <c r="C41" s="18" t="s">
        <v>55</v>
      </c>
      <c r="D41" s="19"/>
      <c r="E41" s="20">
        <v>531</v>
      </c>
      <c r="F41" s="20">
        <v>1</v>
      </c>
      <c r="G41" s="21">
        <v>104</v>
      </c>
      <c r="H41" s="21">
        <v>257</v>
      </c>
      <c r="I41" s="21">
        <v>395</v>
      </c>
      <c r="J41" s="21"/>
      <c r="K41" s="21">
        <v>33</v>
      </c>
      <c r="L41" s="21">
        <v>1</v>
      </c>
      <c r="M41" s="21">
        <v>81</v>
      </c>
      <c r="N41" s="21">
        <v>46</v>
      </c>
      <c r="O41" s="21">
        <v>3</v>
      </c>
      <c r="P41" s="21">
        <v>2</v>
      </c>
      <c r="Q41" s="21">
        <v>0</v>
      </c>
      <c r="R41" s="21">
        <v>7</v>
      </c>
      <c r="S41" s="21">
        <v>3</v>
      </c>
      <c r="T41" s="21">
        <v>8</v>
      </c>
      <c r="U41" s="21">
        <v>154</v>
      </c>
      <c r="V41" s="21">
        <v>1</v>
      </c>
      <c r="W41" s="21">
        <v>40</v>
      </c>
      <c r="X41" s="21">
        <v>0</v>
      </c>
      <c r="Y41" s="20">
        <f t="shared" si="0"/>
        <v>379</v>
      </c>
      <c r="Z41" s="21">
        <v>15</v>
      </c>
    </row>
    <row r="42" spans="1:26" s="22" customFormat="1" x14ac:dyDescent="0.3">
      <c r="A42" s="17" t="s">
        <v>15</v>
      </c>
      <c r="B42" s="18" t="s">
        <v>12</v>
      </c>
      <c r="C42" s="18" t="s">
        <v>56</v>
      </c>
      <c r="D42" s="19"/>
      <c r="E42" s="20">
        <v>855</v>
      </c>
      <c r="F42" s="20">
        <v>11</v>
      </c>
      <c r="G42" s="21">
        <v>167</v>
      </c>
      <c r="H42" s="21">
        <v>379</v>
      </c>
      <c r="I42" s="21">
        <v>448</v>
      </c>
      <c r="J42" s="21"/>
      <c r="K42" s="21">
        <v>29</v>
      </c>
      <c r="L42" s="21">
        <v>1</v>
      </c>
      <c r="M42" s="21">
        <v>159</v>
      </c>
      <c r="N42" s="21">
        <v>11</v>
      </c>
      <c r="O42" s="21">
        <v>5</v>
      </c>
      <c r="P42" s="21">
        <v>0</v>
      </c>
      <c r="Q42" s="21">
        <v>0</v>
      </c>
      <c r="R42" s="21">
        <v>7</v>
      </c>
      <c r="S42" s="21">
        <v>2</v>
      </c>
      <c r="T42" s="21">
        <v>16</v>
      </c>
      <c r="U42" s="21">
        <v>162</v>
      </c>
      <c r="V42" s="21">
        <v>4</v>
      </c>
      <c r="W42" s="21">
        <v>13</v>
      </c>
      <c r="X42" s="21">
        <v>3</v>
      </c>
      <c r="Y42" s="20">
        <f t="shared" si="0"/>
        <v>412</v>
      </c>
      <c r="Z42" s="21">
        <v>31</v>
      </c>
    </row>
    <row r="43" spans="1:26" s="22" customFormat="1" x14ac:dyDescent="0.3">
      <c r="A43" s="17" t="s">
        <v>15</v>
      </c>
      <c r="B43" s="18" t="s">
        <v>12</v>
      </c>
      <c r="C43" s="18" t="s">
        <v>57</v>
      </c>
      <c r="D43" s="19"/>
      <c r="E43" s="20">
        <v>543</v>
      </c>
      <c r="F43" s="20">
        <v>6</v>
      </c>
      <c r="G43" s="21">
        <v>149</v>
      </c>
      <c r="H43" s="21">
        <v>316</v>
      </c>
      <c r="I43" s="21">
        <v>384</v>
      </c>
      <c r="J43" s="21"/>
      <c r="K43" s="21">
        <v>8</v>
      </c>
      <c r="L43" s="21">
        <v>0</v>
      </c>
      <c r="M43" s="21">
        <v>123</v>
      </c>
      <c r="N43" s="21">
        <v>50</v>
      </c>
      <c r="O43" s="21">
        <v>8</v>
      </c>
      <c r="P43" s="21">
        <v>0</v>
      </c>
      <c r="Q43" s="21">
        <v>0</v>
      </c>
      <c r="R43" s="21">
        <v>1</v>
      </c>
      <c r="S43" s="21">
        <v>3</v>
      </c>
      <c r="T43" s="21">
        <v>9</v>
      </c>
      <c r="U43" s="21">
        <v>145</v>
      </c>
      <c r="V43" s="21">
        <v>2</v>
      </c>
      <c r="W43" s="21">
        <v>18</v>
      </c>
      <c r="X43" s="21">
        <v>0</v>
      </c>
      <c r="Y43" s="20">
        <f t="shared" si="0"/>
        <v>367</v>
      </c>
      <c r="Z43" s="21">
        <v>17</v>
      </c>
    </row>
    <row r="44" spans="1:26" x14ac:dyDescent="0.3">
      <c r="A44" s="14" t="s">
        <v>15</v>
      </c>
      <c r="B44" s="15" t="s">
        <v>12</v>
      </c>
      <c r="C44" s="15" t="s">
        <v>79</v>
      </c>
      <c r="D44" s="3"/>
      <c r="E44" s="8">
        <v>0</v>
      </c>
      <c r="F44" s="8">
        <v>62</v>
      </c>
      <c r="G44" s="4">
        <v>25</v>
      </c>
      <c r="H44" s="4">
        <v>36</v>
      </c>
      <c r="I44" s="4">
        <v>36</v>
      </c>
      <c r="J44" s="4"/>
      <c r="K44" s="4">
        <v>4</v>
      </c>
      <c r="L44" s="4">
        <v>0</v>
      </c>
      <c r="M44" s="4">
        <v>7</v>
      </c>
      <c r="N44" s="4">
        <v>2</v>
      </c>
      <c r="O44" s="4">
        <v>0</v>
      </c>
      <c r="P44" s="4">
        <v>0</v>
      </c>
      <c r="Q44" s="4">
        <v>0</v>
      </c>
      <c r="R44" s="4">
        <v>1</v>
      </c>
      <c r="S44" s="4">
        <v>0</v>
      </c>
      <c r="T44" s="4">
        <v>1</v>
      </c>
      <c r="U44" s="4">
        <v>17</v>
      </c>
      <c r="V44" s="4">
        <v>0</v>
      </c>
      <c r="W44" s="4">
        <v>3</v>
      </c>
      <c r="X44" s="4">
        <v>0</v>
      </c>
      <c r="Y44" s="8">
        <f t="shared" si="0"/>
        <v>35</v>
      </c>
      <c r="Z44" s="4">
        <v>1</v>
      </c>
    </row>
    <row r="45" spans="1:26" s="2" customFormat="1" x14ac:dyDescent="0.3">
      <c r="B45" s="5" t="s">
        <v>7</v>
      </c>
      <c r="C45" s="5">
        <f>COUNTA(C2:C44)</f>
        <v>43</v>
      </c>
      <c r="D45" s="5"/>
      <c r="E45" s="9">
        <f t="shared" ref="E45:I45" si="1">SUM(E2:E44)</f>
        <v>41691</v>
      </c>
      <c r="F45" s="6">
        <f t="shared" si="1"/>
        <v>409</v>
      </c>
      <c r="G45" s="6">
        <f t="shared" si="1"/>
        <v>8548</v>
      </c>
      <c r="H45" s="6">
        <f t="shared" si="1"/>
        <v>20541</v>
      </c>
      <c r="I45" s="6">
        <f t="shared" si="1"/>
        <v>25536</v>
      </c>
      <c r="J45" s="6"/>
      <c r="K45" s="6">
        <f t="shared" ref="K45:Z45" si="2">SUM(K2:K44)</f>
        <v>901</v>
      </c>
      <c r="L45" s="6">
        <f t="shared" si="2"/>
        <v>84</v>
      </c>
      <c r="M45" s="6">
        <f t="shared" si="2"/>
        <v>8264</v>
      </c>
      <c r="N45" s="6">
        <f t="shared" si="2"/>
        <v>1391</v>
      </c>
      <c r="O45" s="6">
        <f t="shared" si="2"/>
        <v>203</v>
      </c>
      <c r="P45" s="6">
        <f t="shared" si="2"/>
        <v>75</v>
      </c>
      <c r="Q45" s="6">
        <f t="shared" si="2"/>
        <v>57</v>
      </c>
      <c r="R45" s="6">
        <f t="shared" si="2"/>
        <v>444</v>
      </c>
      <c r="S45" s="6">
        <f t="shared" si="2"/>
        <v>92</v>
      </c>
      <c r="T45" s="6">
        <f t="shared" si="2"/>
        <v>629</v>
      </c>
      <c r="U45" s="6">
        <f t="shared" si="2"/>
        <v>10791</v>
      </c>
      <c r="V45" s="6">
        <f t="shared" si="2"/>
        <v>136</v>
      </c>
      <c r="W45" s="6">
        <f t="shared" si="2"/>
        <v>1008</v>
      </c>
      <c r="X45" s="6">
        <f t="shared" si="2"/>
        <v>88</v>
      </c>
      <c r="Y45" s="9">
        <f t="shared" si="2"/>
        <v>24163</v>
      </c>
      <c r="Z45" s="6">
        <f t="shared" si="2"/>
        <v>1237</v>
      </c>
    </row>
    <row r="46" spans="1:26" x14ac:dyDescent="0.3">
      <c r="B46" s="7" t="s">
        <v>9</v>
      </c>
      <c r="K46" s="16">
        <f t="shared" ref="K46:X46" si="3">K45/$Y$45</f>
        <v>3.7288416173488388E-2</v>
      </c>
      <c r="L46" s="16">
        <f t="shared" si="3"/>
        <v>3.4763895211687291E-3</v>
      </c>
      <c r="M46" s="16">
        <f t="shared" si="3"/>
        <v>0.34201051193974258</v>
      </c>
      <c r="N46" s="16">
        <f t="shared" si="3"/>
        <v>5.7567355046972642E-2</v>
      </c>
      <c r="O46" s="16">
        <f t="shared" si="3"/>
        <v>8.401274676157762E-3</v>
      </c>
      <c r="P46" s="16">
        <f t="shared" si="3"/>
        <v>3.1039192153292225E-3</v>
      </c>
      <c r="Q46" s="16">
        <f t="shared" si="3"/>
        <v>2.3589786036502091E-3</v>
      </c>
      <c r="R46" s="16">
        <f t="shared" si="3"/>
        <v>1.8375201754748997E-2</v>
      </c>
      <c r="S46" s="16">
        <f t="shared" si="3"/>
        <v>3.8074742374705128E-3</v>
      </c>
      <c r="T46" s="16">
        <f t="shared" si="3"/>
        <v>2.6031535819227746E-2</v>
      </c>
      <c r="U46" s="16">
        <f t="shared" si="3"/>
        <v>0.44659189670156851</v>
      </c>
      <c r="V46" s="16">
        <f t="shared" si="3"/>
        <v>5.6284401771303236E-3</v>
      </c>
      <c r="W46" s="16">
        <f t="shared" si="3"/>
        <v>4.1716674254024748E-2</v>
      </c>
      <c r="X46" s="16">
        <f t="shared" si="3"/>
        <v>3.6419318793196208E-3</v>
      </c>
      <c r="Y46" s="11">
        <f>SUM(K46:X46)</f>
        <v>1</v>
      </c>
    </row>
  </sheetData>
  <conditionalFormatting sqref="H2:I43">
    <cfRule type="expression" dxfId="2" priority="8">
      <formula>H2&lt;G2</formula>
    </cfRule>
  </conditionalFormatting>
  <conditionalFormatting sqref="H44:I44">
    <cfRule type="expression" dxfId="1" priority="3">
      <formula>H44&lt;G44</formula>
    </cfRule>
  </conditionalFormatting>
  <conditionalFormatting sqref="H18:I18">
    <cfRule type="expression" dxfId="0" priority="1">
      <formula>H18&lt;G18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სამუშაო ფურცლები</vt:lpstr>
      </vt:variant>
      <vt:variant>
        <vt:i4>2</vt:i4>
      </vt:variant>
    </vt:vector>
  </HeadingPairs>
  <TitlesOfParts>
    <vt:vector size="2" baseType="lpstr">
      <vt:lpstr>აჭარა-პრპორციული</vt:lpstr>
      <vt:lpstr>აჭარა -მაჟორიტარული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2017-10-15T13:03:23Z</cp:lastPrinted>
  <dcterms:created xsi:type="dcterms:W3CDTF">2014-07-31T10:11:31Z</dcterms:created>
  <dcterms:modified xsi:type="dcterms:W3CDTF">2021-05-10T19:00:02Z</dcterms:modified>
</cp:coreProperties>
</file>