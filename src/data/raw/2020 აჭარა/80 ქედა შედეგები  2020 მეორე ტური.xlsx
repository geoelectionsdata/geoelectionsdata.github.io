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G:\My Drive\Election portal data sets\Election results\შედეგები\"/>
    </mc:Choice>
  </mc:AlternateContent>
  <xr:revisionPtr revIDLastSave="0" documentId="13_ncr:1_{696E9040-0B7B-4B1D-8007-9A48F7A9C825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მაჟორიტარული უსკო" sheetId="8" r:id="rId1"/>
  </sheets>
  <definedNames>
    <definedName name="_xlnm._FilterDatabase" localSheetId="0" hidden="1">'მაჟორიტარული უსკო'!$A$2:$M$35</definedName>
    <definedName name="_xlnm.Print_Titles" localSheetId="0">'მაჟორიტარული უსკო'!$A:$C,'მაჟორიტარული უსკო'!$1:$1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4" i="8" l="1"/>
  <c r="K34" i="8"/>
  <c r="J34" i="8"/>
  <c r="H34" i="8"/>
  <c r="G34" i="8"/>
  <c r="F34" i="8"/>
  <c r="E34" i="8"/>
  <c r="D34" i="8"/>
  <c r="C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5" i="8"/>
  <c r="L4" i="8"/>
  <c r="L3" i="8"/>
  <c r="L2" i="8"/>
  <c r="L34" i="8" l="1"/>
  <c r="K35" i="8" s="1"/>
  <c r="J35" i="8" l="1"/>
  <c r="L35" i="8" s="1"/>
</calcChain>
</file>

<file path=xl/sharedStrings.xml><?xml version="1.0" encoding="utf-8"?>
<sst xmlns="http://schemas.openxmlformats.org/spreadsheetml/2006/main" count="111" uniqueCount="49">
  <si>
    <t>უბანი</t>
  </si>
  <si>
    <t>ამომრჩეველთა რაოდენობა ერთიან სიაში</t>
  </si>
  <si>
    <t>ამომრჩეველთა რაოდენობა სპეციალურ სიაში</t>
  </si>
  <si>
    <t>აქტივობა 12 სთ.</t>
  </si>
  <si>
    <t>აქტივობა 17 სთ.</t>
  </si>
  <si>
    <t>მონაწილე</t>
  </si>
  <si>
    <t>ბათილი ბიულეტენები</t>
  </si>
  <si>
    <t>სულ</t>
  </si>
  <si>
    <t>ნამდვილი ბიულეტენები</t>
  </si>
  <si>
    <t>%</t>
  </si>
  <si>
    <t xml:space="preserve">მიღებული ბიულეტენები </t>
  </si>
  <si>
    <t>ოლქი</t>
  </si>
  <si>
    <t>80-ქედა</t>
  </si>
  <si>
    <t>მაჟორიტარული ოლქი</t>
  </si>
  <si>
    <t>30</t>
  </si>
  <si>
    <t xml:space="preserve">30.80.01 </t>
  </si>
  <si>
    <t xml:space="preserve">30.80.02 </t>
  </si>
  <si>
    <t xml:space="preserve">30.80.03 </t>
  </si>
  <si>
    <t xml:space="preserve">30.80.04 </t>
  </si>
  <si>
    <t xml:space="preserve">30.80.05 </t>
  </si>
  <si>
    <t xml:space="preserve">30.80.06 </t>
  </si>
  <si>
    <t xml:space="preserve">30.80.07 </t>
  </si>
  <si>
    <t xml:space="preserve">30.80.08 </t>
  </si>
  <si>
    <t xml:space="preserve">30.80.09 </t>
  </si>
  <si>
    <t xml:space="preserve">30.80.10 </t>
  </si>
  <si>
    <t xml:space="preserve">30.80.11 </t>
  </si>
  <si>
    <t xml:space="preserve">30.80.12 </t>
  </si>
  <si>
    <t xml:space="preserve">30.80.13 </t>
  </si>
  <si>
    <t xml:space="preserve">30.80.14 </t>
  </si>
  <si>
    <t xml:space="preserve">30.80.15 </t>
  </si>
  <si>
    <t xml:space="preserve">30.80.16 </t>
  </si>
  <si>
    <t xml:space="preserve">30.80.17 </t>
  </si>
  <si>
    <t xml:space="preserve">30.80.18 </t>
  </si>
  <si>
    <t xml:space="preserve">30.80.19 </t>
  </si>
  <si>
    <t xml:space="preserve">30.80.20 </t>
  </si>
  <si>
    <t xml:space="preserve">30.80.21 </t>
  </si>
  <si>
    <t xml:space="preserve">30.80.22 </t>
  </si>
  <si>
    <t xml:space="preserve">30.80.23 </t>
  </si>
  <si>
    <t xml:space="preserve">30.80.24 </t>
  </si>
  <si>
    <t xml:space="preserve">30.80.25 </t>
  </si>
  <si>
    <t xml:space="preserve">30.80.26 </t>
  </si>
  <si>
    <t xml:space="preserve">30.80.27 </t>
  </si>
  <si>
    <t xml:space="preserve">30.80.28 </t>
  </si>
  <si>
    <t xml:space="preserve">30.80.29 </t>
  </si>
  <si>
    <t xml:space="preserve">30.80.30 </t>
  </si>
  <si>
    <t xml:space="preserve">30.80.31 </t>
  </si>
  <si>
    <t>30.80.32</t>
  </si>
  <si>
    <t>vote_5</t>
  </si>
  <si>
    <t>vote_41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</si>
</sst>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Sylfaen"/>
      <family val="2"/>
      <scheme val="minor"/>
    </font>
    <font>
      <sz val="11"/>
      <color theme="1"/>
      <name val="Sylfaen"/>
      <family val="2"/>
      <scheme val="minor"/>
    </font>
    <font>
      <b/>
      <sz val="9"/>
      <color theme="1"/>
      <name val="Sylfaen"/>
      <family val="1"/>
    </font>
    <font>
      <sz val="11"/>
      <color theme="1"/>
      <name val="Sylfaen"/>
      <family val="1"/>
    </font>
    <font>
      <b/>
      <sz val="11"/>
      <color theme="1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3" fillId="0" borderId="0" xfId="0" applyFont="1" applyProtection="1">
      <protection locked="0"/>
    </xf>
    <xf numFmtId="0" fontId="4" fillId="0" borderId="0" xfId="0" applyFont="1" applyProtection="1">
      <protection locked="0"/>
    </xf>
    <xf numFmtId="3" fontId="3" fillId="0" borderId="1" xfId="0" applyNumberFormat="1" applyFont="1" applyBorder="1" applyProtection="1">
      <protection locked="0"/>
    </xf>
    <xf numFmtId="0" fontId="4" fillId="0" borderId="1" xfId="0" applyFont="1" applyBorder="1" applyAlignment="1" applyProtection="1">
      <alignment horizontal="center"/>
      <protection locked="0"/>
    </xf>
    <xf numFmtId="3" fontId="4" fillId="0" borderId="1" xfId="0" applyNumberFormat="1" applyFont="1" applyBorder="1" applyProtection="1">
      <protection locked="0"/>
    </xf>
    <xf numFmtId="0" fontId="3" fillId="0" borderId="0" xfId="0" applyFont="1" applyAlignment="1" applyProtection="1">
      <alignment horizontal="center"/>
      <protection locked="0"/>
    </xf>
    <xf numFmtId="3" fontId="3" fillId="0" borderId="1" xfId="0" applyNumberFormat="1" applyFont="1" applyBorder="1" applyProtection="1"/>
    <xf numFmtId="3" fontId="4" fillId="0" borderId="1" xfId="0" applyNumberFormat="1" applyFont="1" applyBorder="1" applyProtection="1"/>
    <xf numFmtId="0" fontId="3" fillId="0" borderId="0" xfId="0" applyFont="1" applyProtection="1"/>
    <xf numFmtId="9" fontId="4" fillId="0" borderId="0" xfId="1" applyFont="1" applyProtection="1"/>
    <xf numFmtId="49" fontId="3" fillId="0" borderId="1" xfId="0" applyNumberFormat="1" applyFont="1" applyBorder="1" applyAlignment="1">
      <alignment horizontal="center"/>
    </xf>
    <xf numFmtId="49" fontId="3" fillId="0" borderId="1" xfId="0" applyNumberFormat="1" applyFont="1" applyBorder="1"/>
    <xf numFmtId="0" fontId="0" fillId="0" borderId="1" xfId="0" applyBorder="1"/>
    <xf numFmtId="10" fontId="4" fillId="0" borderId="0" xfId="1" applyNumberFormat="1" applyFont="1" applyProtection="1">
      <protection locked="0"/>
    </xf>
    <xf numFmtId="0" fontId="3" fillId="0" borderId="0" xfId="0" applyFont="1" applyAlignment="1" applyProtection="1"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vertical="center"/>
      <protection locked="0"/>
    </xf>
    <xf numFmtId="0" fontId="2" fillId="2" borderId="2" xfId="0" applyFont="1" applyFill="1" applyBorder="1" applyAlignment="1" applyProtection="1">
      <alignment vertical="center"/>
    </xf>
    <xf numFmtId="0" fontId="2" fillId="2" borderId="1" xfId="0" applyFont="1" applyFill="1" applyBorder="1" applyAlignment="1" applyProtection="1">
      <alignment vertical="center"/>
    </xf>
  </cellXfs>
  <cellStyles count="2">
    <cellStyle name="პროცენტი" xfId="1" builtinId="5"/>
    <cellStyle name="ჩვეულებრივი" xfId="0" builtinId="0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5"/>
  <sheetViews>
    <sheetView tabSelected="1" zoomScale="90" zoomScaleNormal="90" workbookViewId="0">
      <pane ySplit="1" topLeftCell="A2" activePane="bottomLeft" state="frozen"/>
      <selection pane="bottomLeft"/>
    </sheetView>
  </sheetViews>
  <sheetFormatPr defaultColWidth="9.109375" defaultRowHeight="14.4" x14ac:dyDescent="0.3"/>
  <cols>
    <col min="1" max="1" width="9.109375" style="1"/>
    <col min="2" max="2" width="15.109375" style="6" customWidth="1"/>
    <col min="3" max="3" width="10.6640625" style="6" customWidth="1"/>
    <col min="4" max="4" width="14.6640625" style="9" customWidth="1"/>
    <col min="5" max="5" width="15" style="1" customWidth="1"/>
    <col min="6" max="6" width="9.77734375" style="1" customWidth="1"/>
    <col min="7" max="7" width="9.88671875" style="1" customWidth="1"/>
    <col min="8" max="8" width="10.21875" style="1" bestFit="1" customWidth="1"/>
    <col min="9" max="9" width="13.77734375" style="1" customWidth="1"/>
    <col min="10" max="10" width="10.33203125" style="1" customWidth="1"/>
    <col min="11" max="11" width="11.88671875" style="1" customWidth="1"/>
    <col min="12" max="12" width="13.6640625" style="9" customWidth="1"/>
    <col min="13" max="13" width="13.6640625" style="1" customWidth="1"/>
    <col min="14" max="16384" width="9.109375" style="1"/>
  </cols>
  <sheetData>
    <row r="1" spans="1:13" s="15" customFormat="1" ht="30" customHeight="1" x14ac:dyDescent="0.3">
      <c r="A1" s="17" t="s">
        <v>13</v>
      </c>
      <c r="B1" s="17" t="s">
        <v>11</v>
      </c>
      <c r="C1" s="17" t="s">
        <v>0</v>
      </c>
      <c r="D1" s="18" t="s">
        <v>1</v>
      </c>
      <c r="E1" s="17" t="s">
        <v>2</v>
      </c>
      <c r="F1" s="17" t="s">
        <v>3</v>
      </c>
      <c r="G1" s="17" t="s">
        <v>4</v>
      </c>
      <c r="H1" s="17" t="s">
        <v>5</v>
      </c>
      <c r="I1" s="17" t="s">
        <v>10</v>
      </c>
      <c r="J1" s="16" t="s">
        <v>47</v>
      </c>
      <c r="K1" s="16" t="s">
        <v>48</v>
      </c>
      <c r="L1" s="19" t="s">
        <v>8</v>
      </c>
      <c r="M1" s="17" t="s">
        <v>6</v>
      </c>
    </row>
    <row r="2" spans="1:13" x14ac:dyDescent="0.3">
      <c r="A2" s="11" t="s">
        <v>14</v>
      </c>
      <c r="B2" s="12" t="s">
        <v>12</v>
      </c>
      <c r="C2" s="12" t="s">
        <v>15</v>
      </c>
      <c r="D2" s="7">
        <v>1326</v>
      </c>
      <c r="E2" s="7">
        <v>3</v>
      </c>
      <c r="F2" s="3">
        <v>160</v>
      </c>
      <c r="G2" s="3">
        <v>479</v>
      </c>
      <c r="H2" s="13">
        <v>585</v>
      </c>
      <c r="I2" s="3">
        <v>1250</v>
      </c>
      <c r="J2" s="3">
        <v>65</v>
      </c>
      <c r="K2" s="3">
        <v>487</v>
      </c>
      <c r="L2" s="7">
        <f t="shared" ref="L2:L33" si="0">SUM(J2:K2)</f>
        <v>552</v>
      </c>
      <c r="M2" s="3">
        <v>33</v>
      </c>
    </row>
    <row r="3" spans="1:13" x14ac:dyDescent="0.3">
      <c r="A3" s="11" t="s">
        <v>14</v>
      </c>
      <c r="B3" s="12" t="s">
        <v>12</v>
      </c>
      <c r="C3" s="12" t="s">
        <v>16</v>
      </c>
      <c r="D3" s="7">
        <v>862</v>
      </c>
      <c r="E3" s="7">
        <v>3</v>
      </c>
      <c r="F3" s="3">
        <v>115</v>
      </c>
      <c r="G3" s="3">
        <v>320</v>
      </c>
      <c r="H3" s="13">
        <v>373</v>
      </c>
      <c r="I3" s="3">
        <v>800</v>
      </c>
      <c r="J3" s="3">
        <v>46</v>
      </c>
      <c r="K3" s="3">
        <v>303</v>
      </c>
      <c r="L3" s="7">
        <f t="shared" si="0"/>
        <v>349</v>
      </c>
      <c r="M3" s="3">
        <v>23</v>
      </c>
    </row>
    <row r="4" spans="1:13" x14ac:dyDescent="0.3">
      <c r="A4" s="11" t="s">
        <v>14</v>
      </c>
      <c r="B4" s="12" t="s">
        <v>12</v>
      </c>
      <c r="C4" s="12" t="s">
        <v>17</v>
      </c>
      <c r="D4" s="7">
        <v>301</v>
      </c>
      <c r="E4" s="7">
        <v>1</v>
      </c>
      <c r="F4" s="3">
        <v>48</v>
      </c>
      <c r="G4" s="3">
        <v>139</v>
      </c>
      <c r="H4" s="13">
        <v>193</v>
      </c>
      <c r="I4" s="3">
        <v>300</v>
      </c>
      <c r="J4" s="3">
        <v>19</v>
      </c>
      <c r="K4" s="3">
        <v>164</v>
      </c>
      <c r="L4" s="7">
        <f t="shared" si="0"/>
        <v>183</v>
      </c>
      <c r="M4" s="3">
        <v>10</v>
      </c>
    </row>
    <row r="5" spans="1:13" x14ac:dyDescent="0.3">
      <c r="A5" s="11" t="s">
        <v>14</v>
      </c>
      <c r="B5" s="12" t="s">
        <v>12</v>
      </c>
      <c r="C5" s="12" t="s">
        <v>18</v>
      </c>
      <c r="D5" s="7">
        <v>501</v>
      </c>
      <c r="E5" s="7">
        <v>0</v>
      </c>
      <c r="F5" s="3">
        <v>56</v>
      </c>
      <c r="G5" s="3">
        <v>212</v>
      </c>
      <c r="H5" s="13">
        <v>267</v>
      </c>
      <c r="I5" s="3">
        <v>500</v>
      </c>
      <c r="J5" s="3">
        <v>27</v>
      </c>
      <c r="K5" s="3">
        <v>225</v>
      </c>
      <c r="L5" s="7">
        <f t="shared" si="0"/>
        <v>252</v>
      </c>
      <c r="M5" s="3">
        <v>15</v>
      </c>
    </row>
    <row r="6" spans="1:13" x14ac:dyDescent="0.3">
      <c r="A6" s="11" t="s">
        <v>14</v>
      </c>
      <c r="B6" s="12" t="s">
        <v>12</v>
      </c>
      <c r="C6" s="12" t="s">
        <v>19</v>
      </c>
      <c r="D6" s="7">
        <v>274</v>
      </c>
      <c r="E6" s="7">
        <v>0</v>
      </c>
      <c r="F6" s="3">
        <v>40</v>
      </c>
      <c r="G6" s="3">
        <v>111</v>
      </c>
      <c r="H6" s="13">
        <v>150</v>
      </c>
      <c r="I6" s="3">
        <v>300</v>
      </c>
      <c r="J6" s="3">
        <v>14</v>
      </c>
      <c r="K6" s="3">
        <v>134</v>
      </c>
      <c r="L6" s="7">
        <f t="shared" si="0"/>
        <v>148</v>
      </c>
      <c r="M6" s="3">
        <v>2</v>
      </c>
    </row>
    <row r="7" spans="1:13" x14ac:dyDescent="0.3">
      <c r="A7" s="11" t="s">
        <v>14</v>
      </c>
      <c r="B7" s="12" t="s">
        <v>12</v>
      </c>
      <c r="C7" s="12" t="s">
        <v>20</v>
      </c>
      <c r="D7" s="7">
        <v>420</v>
      </c>
      <c r="E7" s="7">
        <v>0</v>
      </c>
      <c r="F7" s="3">
        <v>74</v>
      </c>
      <c r="G7" s="3">
        <v>167</v>
      </c>
      <c r="H7" s="13">
        <v>189</v>
      </c>
      <c r="I7" s="3">
        <v>450</v>
      </c>
      <c r="J7" s="3">
        <v>37</v>
      </c>
      <c r="K7" s="3">
        <v>143</v>
      </c>
      <c r="L7" s="7">
        <f t="shared" si="0"/>
        <v>180</v>
      </c>
      <c r="M7" s="3">
        <v>8</v>
      </c>
    </row>
    <row r="8" spans="1:13" x14ac:dyDescent="0.3">
      <c r="A8" s="11" t="s">
        <v>14</v>
      </c>
      <c r="B8" s="12" t="s">
        <v>12</v>
      </c>
      <c r="C8" s="12" t="s">
        <v>21</v>
      </c>
      <c r="D8" s="7">
        <v>320</v>
      </c>
      <c r="E8" s="7">
        <v>2</v>
      </c>
      <c r="F8" s="3">
        <v>39</v>
      </c>
      <c r="G8" s="3">
        <v>120</v>
      </c>
      <c r="H8" s="13">
        <v>152</v>
      </c>
      <c r="I8" s="3">
        <v>350</v>
      </c>
      <c r="J8" s="3">
        <v>5</v>
      </c>
      <c r="K8" s="3">
        <v>144</v>
      </c>
      <c r="L8" s="7">
        <f t="shared" si="0"/>
        <v>149</v>
      </c>
      <c r="M8" s="3">
        <v>3</v>
      </c>
    </row>
    <row r="9" spans="1:13" x14ac:dyDescent="0.3">
      <c r="A9" s="11" t="s">
        <v>14</v>
      </c>
      <c r="B9" s="12" t="s">
        <v>12</v>
      </c>
      <c r="C9" s="12" t="s">
        <v>22</v>
      </c>
      <c r="D9" s="7">
        <v>323</v>
      </c>
      <c r="E9" s="7">
        <v>1</v>
      </c>
      <c r="F9" s="3">
        <v>35</v>
      </c>
      <c r="G9" s="3">
        <v>105</v>
      </c>
      <c r="H9" s="13">
        <v>146</v>
      </c>
      <c r="I9" s="3">
        <v>350</v>
      </c>
      <c r="J9" s="3">
        <v>8</v>
      </c>
      <c r="K9" s="3">
        <v>128</v>
      </c>
      <c r="L9" s="7">
        <f t="shared" si="0"/>
        <v>136</v>
      </c>
      <c r="M9" s="3">
        <v>10</v>
      </c>
    </row>
    <row r="10" spans="1:13" x14ac:dyDescent="0.3">
      <c r="A10" s="11" t="s">
        <v>14</v>
      </c>
      <c r="B10" s="12" t="s">
        <v>12</v>
      </c>
      <c r="C10" s="12" t="s">
        <v>23</v>
      </c>
      <c r="D10" s="7">
        <v>303</v>
      </c>
      <c r="E10" s="7">
        <v>1</v>
      </c>
      <c r="F10" s="3">
        <v>36</v>
      </c>
      <c r="G10" s="3">
        <v>131</v>
      </c>
      <c r="H10" s="13">
        <v>160</v>
      </c>
      <c r="I10" s="3">
        <v>300</v>
      </c>
      <c r="J10" s="3">
        <v>20</v>
      </c>
      <c r="K10" s="3">
        <v>132</v>
      </c>
      <c r="L10" s="7">
        <f t="shared" si="0"/>
        <v>152</v>
      </c>
      <c r="M10" s="3">
        <v>8</v>
      </c>
    </row>
    <row r="11" spans="1:13" x14ac:dyDescent="0.3">
      <c r="A11" s="11" t="s">
        <v>14</v>
      </c>
      <c r="B11" s="12" t="s">
        <v>12</v>
      </c>
      <c r="C11" s="12" t="s">
        <v>24</v>
      </c>
      <c r="D11" s="7">
        <v>572</v>
      </c>
      <c r="E11" s="7">
        <v>1</v>
      </c>
      <c r="F11" s="3">
        <v>57</v>
      </c>
      <c r="G11" s="3">
        <v>175</v>
      </c>
      <c r="H11" s="13">
        <v>293</v>
      </c>
      <c r="I11" s="3">
        <v>550</v>
      </c>
      <c r="J11" s="3">
        <v>42</v>
      </c>
      <c r="K11" s="3">
        <v>241</v>
      </c>
      <c r="L11" s="7">
        <f t="shared" si="0"/>
        <v>283</v>
      </c>
      <c r="M11" s="3">
        <v>10</v>
      </c>
    </row>
    <row r="12" spans="1:13" x14ac:dyDescent="0.3">
      <c r="A12" s="11" t="s">
        <v>14</v>
      </c>
      <c r="B12" s="12" t="s">
        <v>12</v>
      </c>
      <c r="C12" s="12" t="s">
        <v>25</v>
      </c>
      <c r="D12" s="7">
        <v>363</v>
      </c>
      <c r="E12" s="7">
        <v>0</v>
      </c>
      <c r="F12" s="3">
        <v>56</v>
      </c>
      <c r="G12" s="3">
        <v>173</v>
      </c>
      <c r="H12" s="13">
        <v>214</v>
      </c>
      <c r="I12" s="3">
        <v>400</v>
      </c>
      <c r="J12" s="3">
        <v>12</v>
      </c>
      <c r="K12" s="3">
        <v>194</v>
      </c>
      <c r="L12" s="7">
        <f t="shared" si="0"/>
        <v>206</v>
      </c>
      <c r="M12" s="3">
        <v>8</v>
      </c>
    </row>
    <row r="13" spans="1:13" x14ac:dyDescent="0.3">
      <c r="A13" s="11" t="s">
        <v>14</v>
      </c>
      <c r="B13" s="12" t="s">
        <v>12</v>
      </c>
      <c r="C13" s="12" t="s">
        <v>26</v>
      </c>
      <c r="D13" s="7">
        <v>419</v>
      </c>
      <c r="E13" s="7">
        <v>0</v>
      </c>
      <c r="F13" s="3">
        <v>60</v>
      </c>
      <c r="G13" s="3">
        <v>203</v>
      </c>
      <c r="H13" s="13">
        <v>269</v>
      </c>
      <c r="I13" s="3">
        <v>450</v>
      </c>
      <c r="J13" s="3">
        <v>21</v>
      </c>
      <c r="K13" s="3">
        <v>241</v>
      </c>
      <c r="L13" s="7">
        <f t="shared" si="0"/>
        <v>262</v>
      </c>
      <c r="M13" s="3">
        <v>7</v>
      </c>
    </row>
    <row r="14" spans="1:13" x14ac:dyDescent="0.3">
      <c r="A14" s="11" t="s">
        <v>14</v>
      </c>
      <c r="B14" s="12" t="s">
        <v>12</v>
      </c>
      <c r="C14" s="12" t="s">
        <v>27</v>
      </c>
      <c r="D14" s="7">
        <v>455</v>
      </c>
      <c r="E14" s="7">
        <v>1</v>
      </c>
      <c r="F14" s="3">
        <v>90</v>
      </c>
      <c r="G14" s="3">
        <v>244</v>
      </c>
      <c r="H14" s="13">
        <v>315</v>
      </c>
      <c r="I14" s="3">
        <v>450</v>
      </c>
      <c r="J14" s="3">
        <v>6</v>
      </c>
      <c r="K14" s="3">
        <v>308</v>
      </c>
      <c r="L14" s="7">
        <f t="shared" si="0"/>
        <v>314</v>
      </c>
      <c r="M14" s="3">
        <v>1</v>
      </c>
    </row>
    <row r="15" spans="1:13" x14ac:dyDescent="0.3">
      <c r="A15" s="11" t="s">
        <v>14</v>
      </c>
      <c r="B15" s="12" t="s">
        <v>12</v>
      </c>
      <c r="C15" s="12" t="s">
        <v>28</v>
      </c>
      <c r="D15" s="7">
        <v>681</v>
      </c>
      <c r="E15" s="7">
        <v>1</v>
      </c>
      <c r="F15" s="3">
        <v>113</v>
      </c>
      <c r="G15" s="3">
        <v>325</v>
      </c>
      <c r="H15" s="13">
        <v>395</v>
      </c>
      <c r="I15" s="3">
        <v>650</v>
      </c>
      <c r="J15" s="3">
        <v>55</v>
      </c>
      <c r="K15" s="3">
        <v>325</v>
      </c>
      <c r="L15" s="7">
        <f t="shared" si="0"/>
        <v>380</v>
      </c>
      <c r="M15" s="3">
        <v>15</v>
      </c>
    </row>
    <row r="16" spans="1:13" x14ac:dyDescent="0.3">
      <c r="A16" s="11" t="s">
        <v>14</v>
      </c>
      <c r="B16" s="12" t="s">
        <v>12</v>
      </c>
      <c r="C16" s="12" t="s">
        <v>29</v>
      </c>
      <c r="D16" s="7">
        <v>588</v>
      </c>
      <c r="E16" s="7">
        <v>0</v>
      </c>
      <c r="F16" s="3">
        <v>50</v>
      </c>
      <c r="G16" s="3">
        <v>172</v>
      </c>
      <c r="H16" s="13">
        <v>217</v>
      </c>
      <c r="I16" s="3">
        <v>550</v>
      </c>
      <c r="J16" s="3">
        <v>9</v>
      </c>
      <c r="K16" s="3">
        <v>203</v>
      </c>
      <c r="L16" s="7">
        <f t="shared" si="0"/>
        <v>212</v>
      </c>
      <c r="M16" s="3">
        <v>5</v>
      </c>
    </row>
    <row r="17" spans="1:13" x14ac:dyDescent="0.3">
      <c r="A17" s="11" t="s">
        <v>14</v>
      </c>
      <c r="B17" s="12" t="s">
        <v>12</v>
      </c>
      <c r="C17" s="12" t="s">
        <v>30</v>
      </c>
      <c r="D17" s="7">
        <v>755</v>
      </c>
      <c r="E17" s="7">
        <v>1</v>
      </c>
      <c r="F17" s="3">
        <v>64</v>
      </c>
      <c r="G17" s="3">
        <v>259</v>
      </c>
      <c r="H17" s="13">
        <v>321</v>
      </c>
      <c r="I17" s="3">
        <v>700</v>
      </c>
      <c r="J17" s="3">
        <v>28</v>
      </c>
      <c r="K17" s="3">
        <v>291</v>
      </c>
      <c r="L17" s="7">
        <f t="shared" si="0"/>
        <v>319</v>
      </c>
      <c r="M17" s="3">
        <v>2</v>
      </c>
    </row>
    <row r="18" spans="1:13" x14ac:dyDescent="0.3">
      <c r="A18" s="11" t="s">
        <v>14</v>
      </c>
      <c r="B18" s="12" t="s">
        <v>12</v>
      </c>
      <c r="C18" s="12" t="s">
        <v>31</v>
      </c>
      <c r="D18" s="7">
        <v>556</v>
      </c>
      <c r="E18" s="7">
        <v>2</v>
      </c>
      <c r="F18" s="3">
        <v>115</v>
      </c>
      <c r="G18" s="3">
        <v>259</v>
      </c>
      <c r="H18" s="13">
        <v>309</v>
      </c>
      <c r="I18" s="3">
        <v>500</v>
      </c>
      <c r="J18" s="3">
        <v>7</v>
      </c>
      <c r="K18" s="3">
        <v>295</v>
      </c>
      <c r="L18" s="7">
        <f t="shared" si="0"/>
        <v>302</v>
      </c>
      <c r="M18" s="3">
        <v>7</v>
      </c>
    </row>
    <row r="19" spans="1:13" x14ac:dyDescent="0.3">
      <c r="A19" s="11" t="s">
        <v>14</v>
      </c>
      <c r="B19" s="12" t="s">
        <v>12</v>
      </c>
      <c r="C19" s="12" t="s">
        <v>32</v>
      </c>
      <c r="D19" s="7">
        <v>856</v>
      </c>
      <c r="E19" s="7">
        <v>2</v>
      </c>
      <c r="F19" s="3">
        <v>165</v>
      </c>
      <c r="G19" s="3">
        <v>335</v>
      </c>
      <c r="H19" s="13">
        <v>473</v>
      </c>
      <c r="I19" s="3">
        <v>800</v>
      </c>
      <c r="J19" s="3">
        <v>11</v>
      </c>
      <c r="K19" s="3">
        <v>452</v>
      </c>
      <c r="L19" s="7">
        <f t="shared" si="0"/>
        <v>463</v>
      </c>
      <c r="M19" s="3">
        <v>10</v>
      </c>
    </row>
    <row r="20" spans="1:13" x14ac:dyDescent="0.3">
      <c r="A20" s="11" t="s">
        <v>14</v>
      </c>
      <c r="B20" s="12" t="s">
        <v>12</v>
      </c>
      <c r="C20" s="12" t="s">
        <v>33</v>
      </c>
      <c r="D20" s="7">
        <v>185</v>
      </c>
      <c r="E20" s="7">
        <v>2</v>
      </c>
      <c r="F20" s="3">
        <v>20</v>
      </c>
      <c r="G20" s="3">
        <v>78</v>
      </c>
      <c r="H20" s="13">
        <v>133</v>
      </c>
      <c r="I20" s="3">
        <v>200</v>
      </c>
      <c r="J20" s="3">
        <v>7</v>
      </c>
      <c r="K20" s="3">
        <v>122</v>
      </c>
      <c r="L20" s="7">
        <f t="shared" si="0"/>
        <v>129</v>
      </c>
      <c r="M20" s="3">
        <v>4</v>
      </c>
    </row>
    <row r="21" spans="1:13" x14ac:dyDescent="0.3">
      <c r="A21" s="11" t="s">
        <v>14</v>
      </c>
      <c r="B21" s="12" t="s">
        <v>12</v>
      </c>
      <c r="C21" s="12" t="s">
        <v>34</v>
      </c>
      <c r="D21" s="7">
        <v>484</v>
      </c>
      <c r="E21" s="7">
        <v>18</v>
      </c>
      <c r="F21" s="3">
        <v>74</v>
      </c>
      <c r="G21" s="3">
        <v>208</v>
      </c>
      <c r="H21" s="13">
        <v>256</v>
      </c>
      <c r="I21" s="3">
        <v>500</v>
      </c>
      <c r="J21" s="3">
        <v>36</v>
      </c>
      <c r="K21" s="3">
        <v>209</v>
      </c>
      <c r="L21" s="7">
        <f t="shared" si="0"/>
        <v>245</v>
      </c>
      <c r="M21" s="3">
        <v>11</v>
      </c>
    </row>
    <row r="22" spans="1:13" x14ac:dyDescent="0.3">
      <c r="A22" s="11" t="s">
        <v>14</v>
      </c>
      <c r="B22" s="12" t="s">
        <v>12</v>
      </c>
      <c r="C22" s="12" t="s">
        <v>35</v>
      </c>
      <c r="D22" s="7">
        <v>268</v>
      </c>
      <c r="E22" s="7">
        <v>0</v>
      </c>
      <c r="F22" s="3">
        <v>42</v>
      </c>
      <c r="G22" s="3">
        <v>140</v>
      </c>
      <c r="H22" s="13">
        <v>162</v>
      </c>
      <c r="I22" s="3">
        <v>300</v>
      </c>
      <c r="J22" s="3">
        <v>9</v>
      </c>
      <c r="K22" s="3">
        <v>151</v>
      </c>
      <c r="L22" s="7">
        <f t="shared" si="0"/>
        <v>160</v>
      </c>
      <c r="M22" s="3">
        <v>2</v>
      </c>
    </row>
    <row r="23" spans="1:13" x14ac:dyDescent="0.3">
      <c r="A23" s="11" t="s">
        <v>14</v>
      </c>
      <c r="B23" s="12" t="s">
        <v>12</v>
      </c>
      <c r="C23" s="12" t="s">
        <v>36</v>
      </c>
      <c r="D23" s="7">
        <v>488</v>
      </c>
      <c r="E23" s="7">
        <v>1</v>
      </c>
      <c r="F23" s="3">
        <v>81</v>
      </c>
      <c r="G23" s="3">
        <v>311</v>
      </c>
      <c r="H23" s="13">
        <v>341</v>
      </c>
      <c r="I23" s="3">
        <v>500</v>
      </c>
      <c r="J23" s="3">
        <v>37</v>
      </c>
      <c r="K23" s="3">
        <v>290</v>
      </c>
      <c r="L23" s="7">
        <f t="shared" si="0"/>
        <v>327</v>
      </c>
      <c r="M23" s="3">
        <v>14</v>
      </c>
    </row>
    <row r="24" spans="1:13" x14ac:dyDescent="0.3">
      <c r="A24" s="11" t="s">
        <v>14</v>
      </c>
      <c r="B24" s="12" t="s">
        <v>12</v>
      </c>
      <c r="C24" s="12" t="s">
        <v>37</v>
      </c>
      <c r="D24" s="7">
        <v>444</v>
      </c>
      <c r="E24" s="7">
        <v>0</v>
      </c>
      <c r="F24" s="3">
        <v>57</v>
      </c>
      <c r="G24" s="3">
        <v>200</v>
      </c>
      <c r="H24" s="13">
        <v>240</v>
      </c>
      <c r="I24" s="3">
        <v>450</v>
      </c>
      <c r="J24" s="3">
        <v>19</v>
      </c>
      <c r="K24" s="3">
        <v>210</v>
      </c>
      <c r="L24" s="7">
        <f t="shared" si="0"/>
        <v>229</v>
      </c>
      <c r="M24" s="3">
        <v>11</v>
      </c>
    </row>
    <row r="25" spans="1:13" x14ac:dyDescent="0.3">
      <c r="A25" s="11" t="s">
        <v>14</v>
      </c>
      <c r="B25" s="12" t="s">
        <v>12</v>
      </c>
      <c r="C25" s="12" t="s">
        <v>38</v>
      </c>
      <c r="D25" s="7">
        <v>218</v>
      </c>
      <c r="E25" s="7">
        <v>0</v>
      </c>
      <c r="F25" s="3">
        <v>46</v>
      </c>
      <c r="G25" s="3">
        <v>106</v>
      </c>
      <c r="H25" s="13">
        <v>120</v>
      </c>
      <c r="I25" s="3">
        <v>250</v>
      </c>
      <c r="J25" s="3">
        <v>4</v>
      </c>
      <c r="K25" s="3">
        <v>113</v>
      </c>
      <c r="L25" s="7">
        <f t="shared" si="0"/>
        <v>117</v>
      </c>
      <c r="M25" s="3">
        <v>3</v>
      </c>
    </row>
    <row r="26" spans="1:13" x14ac:dyDescent="0.3">
      <c r="A26" s="11" t="s">
        <v>14</v>
      </c>
      <c r="B26" s="12" t="s">
        <v>12</v>
      </c>
      <c r="C26" s="12" t="s">
        <v>39</v>
      </c>
      <c r="D26" s="7">
        <v>532</v>
      </c>
      <c r="E26" s="7">
        <v>2</v>
      </c>
      <c r="F26" s="3">
        <v>70</v>
      </c>
      <c r="G26" s="3">
        <v>194</v>
      </c>
      <c r="H26" s="13">
        <v>298</v>
      </c>
      <c r="I26" s="3">
        <v>500</v>
      </c>
      <c r="J26" s="3">
        <v>28</v>
      </c>
      <c r="K26" s="3">
        <v>260</v>
      </c>
      <c r="L26" s="7">
        <f t="shared" si="0"/>
        <v>288</v>
      </c>
      <c r="M26" s="3">
        <v>9</v>
      </c>
    </row>
    <row r="27" spans="1:13" x14ac:dyDescent="0.3">
      <c r="A27" s="11" t="s">
        <v>14</v>
      </c>
      <c r="B27" s="12" t="s">
        <v>12</v>
      </c>
      <c r="C27" s="12" t="s">
        <v>40</v>
      </c>
      <c r="D27" s="7">
        <v>515</v>
      </c>
      <c r="E27" s="7">
        <v>1</v>
      </c>
      <c r="F27" s="3">
        <v>41</v>
      </c>
      <c r="G27" s="3">
        <v>171</v>
      </c>
      <c r="H27" s="13">
        <v>260</v>
      </c>
      <c r="I27" s="3">
        <v>500</v>
      </c>
      <c r="J27" s="3">
        <v>29</v>
      </c>
      <c r="K27" s="3">
        <v>223</v>
      </c>
      <c r="L27" s="7">
        <f t="shared" si="0"/>
        <v>252</v>
      </c>
      <c r="M27" s="3">
        <v>8</v>
      </c>
    </row>
    <row r="28" spans="1:13" x14ac:dyDescent="0.3">
      <c r="A28" s="11" t="s">
        <v>14</v>
      </c>
      <c r="B28" s="12" t="s">
        <v>12</v>
      </c>
      <c r="C28" s="12" t="s">
        <v>41</v>
      </c>
      <c r="D28" s="7">
        <v>535</v>
      </c>
      <c r="E28" s="7">
        <v>2</v>
      </c>
      <c r="F28" s="3">
        <v>54</v>
      </c>
      <c r="G28" s="3">
        <v>204</v>
      </c>
      <c r="H28" s="13">
        <v>265</v>
      </c>
      <c r="I28" s="3">
        <v>500</v>
      </c>
      <c r="J28" s="3">
        <v>18</v>
      </c>
      <c r="K28" s="3">
        <v>242</v>
      </c>
      <c r="L28" s="7">
        <f t="shared" si="0"/>
        <v>260</v>
      </c>
      <c r="M28" s="3">
        <v>5</v>
      </c>
    </row>
    <row r="29" spans="1:13" x14ac:dyDescent="0.3">
      <c r="A29" s="11" t="s">
        <v>14</v>
      </c>
      <c r="B29" s="12" t="s">
        <v>12</v>
      </c>
      <c r="C29" s="12" t="s">
        <v>42</v>
      </c>
      <c r="D29" s="7">
        <v>405</v>
      </c>
      <c r="E29" s="7">
        <v>0</v>
      </c>
      <c r="F29" s="3">
        <v>35</v>
      </c>
      <c r="G29" s="3">
        <v>236</v>
      </c>
      <c r="H29" s="13">
        <v>295</v>
      </c>
      <c r="I29" s="3">
        <v>400</v>
      </c>
      <c r="J29" s="3">
        <v>16</v>
      </c>
      <c r="K29" s="3">
        <v>279</v>
      </c>
      <c r="L29" s="7">
        <f t="shared" si="0"/>
        <v>295</v>
      </c>
      <c r="M29" s="3">
        <v>0</v>
      </c>
    </row>
    <row r="30" spans="1:13" x14ac:dyDescent="0.3">
      <c r="A30" s="11" t="s">
        <v>14</v>
      </c>
      <c r="B30" s="12" t="s">
        <v>12</v>
      </c>
      <c r="C30" s="12" t="s">
        <v>43</v>
      </c>
      <c r="D30" s="7">
        <v>897</v>
      </c>
      <c r="E30" s="7">
        <v>0</v>
      </c>
      <c r="F30" s="3">
        <v>110</v>
      </c>
      <c r="G30" s="3">
        <v>301</v>
      </c>
      <c r="H30" s="13">
        <v>439</v>
      </c>
      <c r="I30" s="3">
        <v>850</v>
      </c>
      <c r="J30" s="3">
        <v>27</v>
      </c>
      <c r="K30" s="3">
        <v>393</v>
      </c>
      <c r="L30" s="7">
        <f t="shared" si="0"/>
        <v>420</v>
      </c>
      <c r="M30" s="3">
        <v>19</v>
      </c>
    </row>
    <row r="31" spans="1:13" x14ac:dyDescent="0.3">
      <c r="A31" s="11" t="s">
        <v>14</v>
      </c>
      <c r="B31" s="12" t="s">
        <v>12</v>
      </c>
      <c r="C31" s="12" t="s">
        <v>44</v>
      </c>
      <c r="D31" s="7">
        <v>327</v>
      </c>
      <c r="E31" s="7">
        <v>2</v>
      </c>
      <c r="F31" s="3">
        <v>37</v>
      </c>
      <c r="G31" s="3">
        <v>156</v>
      </c>
      <c r="H31" s="13">
        <v>185</v>
      </c>
      <c r="I31" s="3">
        <v>350</v>
      </c>
      <c r="J31" s="3">
        <v>5</v>
      </c>
      <c r="K31" s="3">
        <v>179</v>
      </c>
      <c r="L31" s="7">
        <f t="shared" si="0"/>
        <v>184</v>
      </c>
      <c r="M31" s="3">
        <v>1</v>
      </c>
    </row>
    <row r="32" spans="1:13" x14ac:dyDescent="0.3">
      <c r="A32" s="11" t="s">
        <v>14</v>
      </c>
      <c r="B32" s="12" t="s">
        <v>12</v>
      </c>
      <c r="C32" s="12" t="s">
        <v>45</v>
      </c>
      <c r="D32" s="7">
        <v>526</v>
      </c>
      <c r="E32" s="7">
        <v>2</v>
      </c>
      <c r="F32" s="3">
        <v>50</v>
      </c>
      <c r="G32" s="3">
        <v>192</v>
      </c>
      <c r="H32" s="13">
        <v>270</v>
      </c>
      <c r="I32" s="3">
        <v>500</v>
      </c>
      <c r="J32" s="3">
        <v>25</v>
      </c>
      <c r="K32" s="3">
        <v>234</v>
      </c>
      <c r="L32" s="7">
        <f t="shared" si="0"/>
        <v>259</v>
      </c>
      <c r="M32" s="3">
        <v>11</v>
      </c>
    </row>
    <row r="33" spans="1:13" x14ac:dyDescent="0.3">
      <c r="A33" s="11" t="s">
        <v>14</v>
      </c>
      <c r="B33" s="12" t="s">
        <v>12</v>
      </c>
      <c r="C33" s="12" t="s">
        <v>46</v>
      </c>
      <c r="D33" s="7">
        <v>0</v>
      </c>
      <c r="E33" s="7">
        <v>13</v>
      </c>
      <c r="F33" s="3">
        <v>5</v>
      </c>
      <c r="G33" s="3">
        <v>12</v>
      </c>
      <c r="H33" s="13">
        <v>12</v>
      </c>
      <c r="I33" s="3">
        <v>50</v>
      </c>
      <c r="J33" s="3">
        <v>0</v>
      </c>
      <c r="K33" s="3">
        <v>12</v>
      </c>
      <c r="L33" s="7">
        <f t="shared" si="0"/>
        <v>12</v>
      </c>
      <c r="M33" s="3">
        <v>0</v>
      </c>
    </row>
    <row r="34" spans="1:13" s="2" customFormat="1" x14ac:dyDescent="0.3">
      <c r="B34" s="4" t="s">
        <v>7</v>
      </c>
      <c r="C34" s="4">
        <f>COUNTA(C2:C33)</f>
        <v>32</v>
      </c>
      <c r="D34" s="8">
        <f t="shared" ref="D34:H34" si="1">SUM(D2:D33)</f>
        <v>15699</v>
      </c>
      <c r="E34" s="5">
        <f t="shared" si="1"/>
        <v>62</v>
      </c>
      <c r="F34" s="5">
        <f t="shared" si="1"/>
        <v>2095</v>
      </c>
      <c r="G34" s="5">
        <f t="shared" si="1"/>
        <v>6438</v>
      </c>
      <c r="H34" s="5">
        <f t="shared" si="1"/>
        <v>8297</v>
      </c>
      <c r="I34" s="5"/>
      <c r="J34" s="5">
        <f t="shared" ref="J34:M34" si="2">SUM(J2:J33)</f>
        <v>692</v>
      </c>
      <c r="K34" s="5">
        <f t="shared" si="2"/>
        <v>7327</v>
      </c>
      <c r="L34" s="8">
        <f t="shared" si="2"/>
        <v>8019</v>
      </c>
      <c r="M34" s="5">
        <f t="shared" si="2"/>
        <v>275</v>
      </c>
    </row>
    <row r="35" spans="1:13" x14ac:dyDescent="0.3">
      <c r="B35" s="6" t="s">
        <v>9</v>
      </c>
      <c r="J35" s="14">
        <f>J34/$L$34</f>
        <v>8.6295049258012221E-2</v>
      </c>
      <c r="K35" s="14">
        <f>K34/$L$34</f>
        <v>0.91370495074198776</v>
      </c>
      <c r="L35" s="10">
        <f>SUM(J35:K35)</f>
        <v>1</v>
      </c>
    </row>
  </sheetData>
  <sheetProtection insertRows="0"/>
  <conditionalFormatting sqref="G2:H32">
    <cfRule type="expression" dxfId="1" priority="2">
      <formula>G2&lt;F2</formula>
    </cfRule>
  </conditionalFormatting>
  <conditionalFormatting sqref="G33:H33">
    <cfRule type="expression" dxfId="0" priority="1">
      <formula>G33&lt;F33</formula>
    </cfRule>
  </conditionalFormatting>
  <pageMargins left="0.2" right="0.2" top="0.5" bottom="0.5" header="0.3" footer="0.3"/>
  <pageSetup paperSize="9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სამუშაო ფურცლები</vt:lpstr>
      </vt:variant>
      <vt:variant>
        <vt:i4>1</vt:i4>
      </vt:variant>
      <vt:variant>
        <vt:lpstr>დასათაურებული დიაპაზონები</vt:lpstr>
      </vt:variant>
      <vt:variant>
        <vt:i4>1</vt:i4>
      </vt:variant>
    </vt:vector>
  </HeadingPairs>
  <TitlesOfParts>
    <vt:vector size="2" baseType="lpstr">
      <vt:lpstr>მაჟორიტარული უსკო</vt:lpstr>
      <vt:lpstr>'მაჟორიტარული უსკო'!ამოსაბეჭდი_წარწერები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Rusudan Lelashvili</dc:creator>
  <cp:lastModifiedBy>David Sichinava</cp:lastModifiedBy>
  <cp:lastPrinted>2017-10-15T13:03:23Z</cp:lastPrinted>
  <dcterms:created xsi:type="dcterms:W3CDTF">2014-07-31T10:11:31Z</dcterms:created>
  <dcterms:modified xsi:type="dcterms:W3CDTF">2021-04-12T20:06:50Z</dcterms:modified>
</cp:coreProperties>
</file>